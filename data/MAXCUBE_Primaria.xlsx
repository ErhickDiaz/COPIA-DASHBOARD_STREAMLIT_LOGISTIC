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'MAXCUBE'!$A$1:$L$252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2" customWidth="1" min="10" max="10"/>
    <col width="17" customWidth="1" min="11" max="11"/>
    <col width="22" customWidth="1" min="12" max="12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Viajes</t>
        </is>
      </c>
      <c r="K1" s="1" t="inlineStr">
        <is>
          <t>ENTREGA FINAL</t>
        </is>
      </c>
      <c r="L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11:28:46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82623500-4/IDEAL S.A</t>
        </is>
      </c>
      <c r="I2" s="3" t="inlineStr">
        <is>
          <t>TVTD89</t>
        </is>
      </c>
      <c r="J2" s="2" t="n">
        <v>1</v>
      </c>
      <c r="K2" s="3" t="inlineStr">
        <is>
          <t>RANCAGUA</t>
        </is>
      </c>
      <c r="L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11:53:27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5" t="inlineStr">
        <is>
          <t>LCTB56</t>
        </is>
      </c>
      <c r="J3" s="4" t="n">
        <v>1</v>
      </c>
      <c r="K3" s="5" t="inlineStr">
        <is>
          <t>PTO MONTT</t>
        </is>
      </c>
      <c r="L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15:52:51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RZVS88</t>
        </is>
      </c>
      <c r="J4" s="2" t="n">
        <v>1</v>
      </c>
      <c r="K4" s="3" t="inlineStr">
        <is>
          <t>LO ESPEJO</t>
        </is>
      </c>
      <c r="L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16:55:25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4" t="n">
        <v>1</v>
      </c>
      <c r="K5" s="5" t="inlineStr">
        <is>
          <t>LO ESPEJO</t>
        </is>
      </c>
      <c r="L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18:14:16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82623500-4/IDEAL S.A</t>
        </is>
      </c>
      <c r="I6" s="3" t="inlineStr">
        <is>
          <t>JKKG89</t>
        </is>
      </c>
      <c r="J6" s="2" t="n">
        <v>1</v>
      </c>
      <c r="K6" s="3" t="inlineStr">
        <is>
          <t>LO ESPEJO</t>
        </is>
      </c>
      <c r="L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18:24:59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5" t="inlineStr">
        <is>
          <t>LWBV80</t>
        </is>
      </c>
      <c r="J7" s="4" t="n">
        <v>1</v>
      </c>
      <c r="K7" s="5" t="inlineStr">
        <is>
          <t>VINA DEL MAR</t>
        </is>
      </c>
      <c r="L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19:06:10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82623500-4/IDEAL S.A</t>
        </is>
      </c>
      <c r="I8" s="3" t="inlineStr">
        <is>
          <t>STJR25</t>
        </is>
      </c>
      <c r="J8" s="2" t="n">
        <v>1</v>
      </c>
      <c r="K8" s="3" t="inlineStr">
        <is>
          <t>EL PINAR</t>
        </is>
      </c>
      <c r="L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20:11:59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5" t="inlineStr">
        <is>
          <t>TZ5595</t>
        </is>
      </c>
      <c r="J9" s="4" t="n">
        <v>1</v>
      </c>
      <c r="K9" s="5" t="inlineStr">
        <is>
          <t>ANTOFAGASTA</t>
        </is>
      </c>
      <c r="L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21:14:13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STJR25</t>
        </is>
      </c>
      <c r="J10" s="2" t="n">
        <v>1</v>
      </c>
      <c r="K10" s="3" t="inlineStr">
        <is>
          <t>LO ESPEJO</t>
        </is>
      </c>
      <c r="L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23:53:40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TVTD89</t>
        </is>
      </c>
      <c r="J11" s="4" t="n">
        <v>1</v>
      </c>
      <c r="K11" s="5" t="inlineStr">
        <is>
          <t>LO ESPEJO</t>
        </is>
      </c>
      <c r="L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01:54:36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82623500-4/IDEAL S.A</t>
        </is>
      </c>
      <c r="I12" s="3" t="inlineStr">
        <is>
          <t>TVTD-89</t>
        </is>
      </c>
      <c r="J12" s="2" t="n">
        <v>1</v>
      </c>
      <c r="K12" s="3" t="inlineStr">
        <is>
          <t>LO ESPEJO</t>
        </is>
      </c>
      <c r="L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03:24:59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82623500-4/IDEAL S.A</t>
        </is>
      </c>
      <c r="I13" s="5" t="inlineStr">
        <is>
          <t>STJR25</t>
        </is>
      </c>
      <c r="J13" s="4" t="n">
        <v>1</v>
      </c>
      <c r="K13" s="5" t="inlineStr">
        <is>
          <t>VINA DEL MAR</t>
        </is>
      </c>
      <c r="L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03:41:51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3" t="inlineStr">
        <is>
          <t>ZL7937</t>
        </is>
      </c>
      <c r="J14" s="2" t="n">
        <v>1</v>
      </c>
      <c r="K14" s="3" t="inlineStr">
        <is>
          <t>MELIPILLA</t>
        </is>
      </c>
      <c r="L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04:30:28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82623500-4/IDEAL S.A</t>
        </is>
      </c>
      <c r="I15" s="5" t="inlineStr">
        <is>
          <t>TVTD89</t>
        </is>
      </c>
      <c r="J15" s="4" t="n">
        <v>1</v>
      </c>
      <c r="K15" s="5" t="inlineStr">
        <is>
          <t>LO ESPEJO</t>
        </is>
      </c>
      <c r="L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04:45:55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3" t="inlineStr">
        <is>
          <t>BWPL15</t>
        </is>
      </c>
      <c r="J16" s="2" t="n">
        <v>1</v>
      </c>
      <c r="K16" s="3" t="inlineStr">
        <is>
          <t>LOS ANDES</t>
        </is>
      </c>
      <c r="L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05:09:04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5" t="inlineStr">
        <is>
          <t>DRPH69</t>
        </is>
      </c>
      <c r="J17" s="4" t="n">
        <v>1</v>
      </c>
      <c r="K17" s="5" t="inlineStr">
        <is>
          <t>RANCAGUA</t>
        </is>
      </c>
      <c r="L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06:21:53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82623500-4/IDEAL S.A</t>
        </is>
      </c>
      <c r="I18" s="3" t="inlineStr">
        <is>
          <t>TVTD89</t>
        </is>
      </c>
      <c r="J18" s="2" t="n">
        <v>1</v>
      </c>
      <c r="K18" s="3" t="inlineStr">
        <is>
          <t>EL PINAR</t>
        </is>
      </c>
      <c r="L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09:33:18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5" t="inlineStr">
        <is>
          <t>PJJV29</t>
        </is>
      </c>
      <c r="J19" s="4" t="n">
        <v>1</v>
      </c>
      <c r="K19" s="5" t="inlineStr">
        <is>
          <t>ANTOFAGASTA</t>
        </is>
      </c>
      <c r="L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10:20:26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3" t="inlineStr">
        <is>
          <t>HVJX52</t>
        </is>
      </c>
      <c r="J20" s="2" t="n">
        <v>1</v>
      </c>
      <c r="K20" s="3" t="inlineStr">
        <is>
          <t>VINA DEL MAR</t>
        </is>
      </c>
      <c r="L20" s="2" t="n">
        <v>1472</v>
      </c>
    </row>
    <row r="21">
      <c r="A21" s="4">
        <f>"119194"</f>
        <v/>
      </c>
      <c r="B21" s="4" t="inlineStr">
        <is>
          <t>HKOOB37035196</t>
        </is>
      </c>
      <c r="C21" s="4" t="inlineStr">
        <is>
          <t>12/05/2026</t>
        </is>
      </c>
      <c r="D21" s="4" t="inlineStr">
        <is>
          <t>11:45:37</t>
        </is>
      </c>
      <c r="E21" s="4" t="inlineStr">
        <is>
          <t>mayo</t>
        </is>
      </c>
      <c r="F21" s="4" t="n">
        <v>2026</v>
      </c>
      <c r="G21" s="5" t="inlineStr">
        <is>
          <t>PTO MONTT</t>
        </is>
      </c>
      <c r="H21" s="5" t="inlineStr">
        <is>
          <t>77636200-K/TRANSPORTES SAN GABRIEL LTDA.</t>
        </is>
      </c>
      <c r="I21" s="5" t="inlineStr">
        <is>
          <t>RFZY95</t>
        </is>
      </c>
      <c r="J21" s="4" t="n">
        <v>1</v>
      </c>
      <c r="K21" s="5" t="inlineStr">
        <is>
          <t>PTO MONTT</t>
        </is>
      </c>
      <c r="L21" s="4" t="n">
        <v>1638</v>
      </c>
    </row>
    <row r="22">
      <c r="A22" s="2">
        <f>"119195"</f>
        <v/>
      </c>
      <c r="B22" s="2" t="inlineStr">
        <is>
          <t>HKOOB37037365</t>
        </is>
      </c>
      <c r="C22" s="2" t="inlineStr">
        <is>
          <t>12/05/2026</t>
        </is>
      </c>
      <c r="D22" s="2" t="inlineStr">
        <is>
          <t>12:09:31</t>
        </is>
      </c>
      <c r="E22" s="2" t="inlineStr">
        <is>
          <t>mayo</t>
        </is>
      </c>
      <c r="F22" s="2" t="n">
        <v>2026</v>
      </c>
      <c r="G22" s="3" t="inlineStr">
        <is>
          <t>IQUIQUE</t>
        </is>
      </c>
      <c r="H22" s="3" t="inlineStr">
        <is>
          <t>77636200-K/TRANSPORTES SAN GABRIEL LTDA.</t>
        </is>
      </c>
      <c r="I22" s="3" t="inlineStr">
        <is>
          <t>PFBS13</t>
        </is>
      </c>
      <c r="J22" s="2" t="n">
        <v>1</v>
      </c>
      <c r="K22" s="3" t="inlineStr">
        <is>
          <t>IQUIQUE</t>
        </is>
      </c>
      <c r="L22" s="2" t="n">
        <v>1191</v>
      </c>
    </row>
    <row r="23">
      <c r="A23" s="4">
        <f>"38043"</f>
        <v/>
      </c>
      <c r="B23" s="4" t="inlineStr">
        <is>
          <t>HKOOB37036933</t>
        </is>
      </c>
      <c r="C23" s="4" t="inlineStr">
        <is>
          <t>12/05/2026</t>
        </is>
      </c>
      <c r="D23" s="4" t="inlineStr">
        <is>
          <t>12:52:12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82623500-4/IDEAL S.A</t>
        </is>
      </c>
      <c r="I23" s="5" t="inlineStr">
        <is>
          <t>STJR25</t>
        </is>
      </c>
      <c r="J23" s="4" t="n">
        <v>1</v>
      </c>
      <c r="K23" s="5" t="inlineStr">
        <is>
          <t>LO ESPEJO</t>
        </is>
      </c>
      <c r="L23" s="4" t="n">
        <v>0</v>
      </c>
    </row>
    <row r="24">
      <c r="A24" s="2">
        <f>"38046"</f>
        <v/>
      </c>
      <c r="B24" s="2" t="inlineStr">
        <is>
          <t>CHKO373668</t>
        </is>
      </c>
      <c r="C24" s="2" t="inlineStr">
        <is>
          <t>12/05/2026</t>
        </is>
      </c>
      <c r="D24" s="2" t="inlineStr">
        <is>
          <t>13:12:55</t>
        </is>
      </c>
      <c r="E24" s="2" t="inlineStr">
        <is>
          <t>mayo</t>
        </is>
      </c>
      <c r="F24" s="2" t="n">
        <v>2026</v>
      </c>
      <c r="G24" s="3" t="inlineStr">
        <is>
          <t>LA SERENA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2" t="n">
        <v>1</v>
      </c>
      <c r="K24" s="3" t="inlineStr">
        <is>
          <t>LA SERENA</t>
        </is>
      </c>
      <c r="L24" s="2" t="n">
        <v>360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13:18:32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5" t="inlineStr">
        <is>
          <t>JCHR80</t>
        </is>
      </c>
      <c r="J25" s="4" t="n">
        <v>1</v>
      </c>
      <c r="K25" s="5" t="inlineStr">
        <is>
          <t>RUTA SOLITARIA 1059 LV</t>
        </is>
      </c>
      <c r="L25" s="4" t="n">
        <v>631</v>
      </c>
    </row>
    <row r="26">
      <c r="A26" s="2">
        <f>"38049"</f>
        <v/>
      </c>
      <c r="B26" s="2" t="inlineStr">
        <is>
          <t>CHKO373646</t>
        </is>
      </c>
      <c r="C26" s="2" t="inlineStr">
        <is>
          <t>12/05/2026</t>
        </is>
      </c>
      <c r="D26" s="2" t="inlineStr">
        <is>
          <t>13:25:28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3" t="inlineStr">
        <is>
          <t>JGHR80</t>
        </is>
      </c>
      <c r="J26" s="2" t="n">
        <v>1</v>
      </c>
      <c r="K26" s="3" t="inlineStr">
        <is>
          <t>LA SERENA</t>
        </is>
      </c>
      <c r="L26" s="2" t="n">
        <v>443</v>
      </c>
    </row>
    <row r="27">
      <c r="A27" s="4">
        <f>"38050"</f>
        <v/>
      </c>
      <c r="B27" s="4" t="inlineStr">
        <is>
          <t>HKOOB37035188</t>
        </is>
      </c>
      <c r="C27" s="4" t="inlineStr">
        <is>
          <t>12/05/2026</t>
        </is>
      </c>
      <c r="D27" s="4" t="inlineStr">
        <is>
          <t>13:38:07</t>
        </is>
      </c>
      <c r="E27" s="4" t="inlineStr">
        <is>
          <t>mayo</t>
        </is>
      </c>
      <c r="F27" s="4" t="n">
        <v>2026</v>
      </c>
      <c r="G27" s="5" t="inlineStr">
        <is>
          <t>CONCEPCION</t>
        </is>
      </c>
      <c r="H27" s="5" t="inlineStr">
        <is>
          <t>77636200-K/TRANSPORTES SAN GABRIEL LTDA.</t>
        </is>
      </c>
      <c r="I27" s="5" t="inlineStr">
        <is>
          <t>PZJD83</t>
        </is>
      </c>
      <c r="J27" s="4" t="n">
        <v>1</v>
      </c>
      <c r="K27" s="5" t="inlineStr">
        <is>
          <t>CONCEPCION</t>
        </is>
      </c>
      <c r="L27" s="4" t="n">
        <v>1556</v>
      </c>
    </row>
    <row r="28">
      <c r="A28" s="2">
        <f>"38054"</f>
        <v/>
      </c>
      <c r="B28" s="2" t="inlineStr">
        <is>
          <t>HKOOB37037369</t>
        </is>
      </c>
      <c r="C28" s="2" t="inlineStr">
        <is>
          <t>12/05/2026</t>
        </is>
      </c>
      <c r="D28" s="2" t="inlineStr">
        <is>
          <t>14:10:38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76746317-0/TRAILER LOGISTICS SPA</t>
        </is>
      </c>
      <c r="I28" s="3" t="inlineStr">
        <is>
          <t>VJWL65</t>
        </is>
      </c>
      <c r="J28" s="2" t="n">
        <v>1</v>
      </c>
      <c r="K28" s="3" t="inlineStr">
        <is>
          <t>ANTOFAGASTA</t>
        </is>
      </c>
      <c r="L28" s="2" t="n">
        <v>2016</v>
      </c>
    </row>
    <row r="29">
      <c r="A29" s="4">
        <f>"119199"</f>
        <v/>
      </c>
      <c r="B29" s="4" t="inlineStr">
        <is>
          <t>HKOOB37035184</t>
        </is>
      </c>
      <c r="C29" s="4" t="inlineStr">
        <is>
          <t>12/05/2026</t>
        </is>
      </c>
      <c r="D29" s="4" t="inlineStr">
        <is>
          <t>14:29:28</t>
        </is>
      </c>
      <c r="E29" s="4" t="inlineStr">
        <is>
          <t>mayo</t>
        </is>
      </c>
      <c r="F29" s="4" t="n">
        <v>2026</v>
      </c>
      <c r="G29" s="5" t="inlineStr">
        <is>
          <t>LOS ANGELES</t>
        </is>
      </c>
      <c r="H29" s="5" t="inlineStr">
        <is>
          <t>77636200-K/TRANSPORTES SAN GABRIEL LTDA.</t>
        </is>
      </c>
      <c r="I29" s="5" t="inlineStr">
        <is>
          <t>PGBY32</t>
        </is>
      </c>
      <c r="J29" s="4" t="n">
        <v>1</v>
      </c>
      <c r="K29" s="5" t="inlineStr">
        <is>
          <t>LOS ANGELES</t>
        </is>
      </c>
      <c r="L29" s="4" t="n">
        <v>1712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16:06:36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82623500-4/IDEAL S.A</t>
        </is>
      </c>
      <c r="I30" s="3" t="inlineStr">
        <is>
          <t>TVTD89</t>
        </is>
      </c>
      <c r="J30" s="2" t="n">
        <v>1</v>
      </c>
      <c r="K30" s="3" t="inlineStr">
        <is>
          <t>LO ESPEJO</t>
        </is>
      </c>
      <c r="L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16:45:38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82623500-4/IDEAL S.A</t>
        </is>
      </c>
      <c r="I31" s="5" t="inlineStr">
        <is>
          <t>STJR25</t>
        </is>
      </c>
      <c r="J31" s="4" t="n">
        <v>1</v>
      </c>
      <c r="K31" s="5" t="inlineStr">
        <is>
          <t>EL PINAR</t>
        </is>
      </c>
      <c r="L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17:20:43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3" t="inlineStr">
        <is>
          <t>PJKT54</t>
        </is>
      </c>
      <c r="J32" s="2" t="n">
        <v>1</v>
      </c>
      <c r="K32" s="3" t="inlineStr">
        <is>
          <t>TALCA</t>
        </is>
      </c>
      <c r="L32" s="2" t="n">
        <v>1647</v>
      </c>
    </row>
    <row r="33">
      <c r="A33" s="4">
        <f>"38065"</f>
        <v/>
      </c>
      <c r="B33" s="4" t="inlineStr">
        <is>
          <t>HKOOB37036932</t>
        </is>
      </c>
      <c r="C33" s="4" t="inlineStr">
        <is>
          <t>12/05/2026</t>
        </is>
      </c>
      <c r="D33" s="4" t="inlineStr">
        <is>
          <t>17:55:45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82623500-4/IDEAL S.A</t>
        </is>
      </c>
      <c r="I33" s="5" t="inlineStr">
        <is>
          <t>STJR25</t>
        </is>
      </c>
      <c r="J33" s="4" t="n">
        <v>1</v>
      </c>
      <c r="K33" s="5" t="inlineStr">
        <is>
          <t>LO ESPEJO</t>
        </is>
      </c>
      <c r="L33" s="4" t="n">
        <v>1380</v>
      </c>
    </row>
    <row r="34">
      <c r="A34" s="2">
        <f>"119201"</f>
        <v/>
      </c>
      <c r="B34" s="2" t="inlineStr">
        <is>
          <t>HKOOB37035195</t>
        </is>
      </c>
      <c r="C34" s="2" t="inlineStr">
        <is>
          <t>12/05/2026</t>
        </is>
      </c>
      <c r="D34" s="2" t="inlineStr">
        <is>
          <t>19:18:35</t>
        </is>
      </c>
      <c r="E34" s="2" t="inlineStr">
        <is>
          <t>mayo</t>
        </is>
      </c>
      <c r="F34" s="2" t="n">
        <v>2026</v>
      </c>
      <c r="G34" s="3" t="inlineStr">
        <is>
          <t>TEMUCO</t>
        </is>
      </c>
      <c r="H34" s="3" t="inlineStr">
        <is>
          <t>77970090-9/TRANSPORTES DONA ISIDORA (LABBE)</t>
        </is>
      </c>
      <c r="I34" s="3" t="inlineStr">
        <is>
          <t>BVWZ52</t>
        </is>
      </c>
      <c r="J34" s="2" t="n">
        <v>1</v>
      </c>
      <c r="K34" s="3" t="inlineStr">
        <is>
          <t>TEMUCO</t>
        </is>
      </c>
      <c r="L34" s="2" t="n">
        <v>1813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20:29:28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5" t="inlineStr">
        <is>
          <t>FHDT82</t>
        </is>
      </c>
      <c r="J35" s="4" t="n">
        <v>1</v>
      </c>
      <c r="K35" s="5" t="inlineStr">
        <is>
          <t>SAN FERNANDO</t>
        </is>
      </c>
      <c r="L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20:59:49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82623500-4/IDEAL S.A</t>
        </is>
      </c>
      <c r="I36" s="3" t="inlineStr">
        <is>
          <t>RZVS88</t>
        </is>
      </c>
      <c r="J36" s="2" t="n">
        <v>1</v>
      </c>
      <c r="K36" s="3" t="inlineStr">
        <is>
          <t>VINA DEL MAR</t>
        </is>
      </c>
      <c r="L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22:08:53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5" t="inlineStr">
        <is>
          <t>LXHJ99</t>
        </is>
      </c>
      <c r="J37" s="4" t="n">
        <v>1</v>
      </c>
      <c r="K37" s="5" t="inlineStr">
        <is>
          <t>CHILLAN</t>
        </is>
      </c>
      <c r="L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22:30:55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3" t="inlineStr">
        <is>
          <t>VJWL64</t>
        </is>
      </c>
      <c r="J38" s="2" t="n">
        <v>1</v>
      </c>
      <c r="K38" s="3" t="inlineStr">
        <is>
          <t>CONCEPCION</t>
        </is>
      </c>
      <c r="L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22:50:37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5" t="inlineStr">
        <is>
          <t>PJKT50</t>
        </is>
      </c>
      <c r="J39" s="4" t="n">
        <v>1</v>
      </c>
      <c r="K39" s="5" t="inlineStr">
        <is>
          <t>LA SERENA</t>
        </is>
      </c>
      <c r="L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23:55:41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3" t="inlineStr">
        <is>
          <t>BWPL15</t>
        </is>
      </c>
      <c r="J40" s="2" t="n">
        <v>1</v>
      </c>
      <c r="K40" s="3" t="inlineStr">
        <is>
          <t>TALCA</t>
        </is>
      </c>
      <c r="L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02:55:17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82623500-4/IDEAL S.A</t>
        </is>
      </c>
      <c r="I41" s="5" t="inlineStr">
        <is>
          <t>STJR25</t>
        </is>
      </c>
      <c r="J41" s="4" t="n">
        <v>1</v>
      </c>
      <c r="K41" s="5" t="inlineStr">
        <is>
          <t>RANCAGUA</t>
        </is>
      </c>
      <c r="L41" s="4" t="n">
        <v>1676</v>
      </c>
    </row>
    <row r="42">
      <c r="A42" s="2">
        <f>"38111"</f>
        <v/>
      </c>
      <c r="B42" s="2" t="inlineStr">
        <is>
          <t>HKOOB37046782</t>
        </is>
      </c>
      <c r="C42" s="2" t="inlineStr">
        <is>
          <t>13/05/2026</t>
        </is>
      </c>
      <c r="D42" s="2" t="inlineStr">
        <is>
          <t>03:49:17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inlineStr">
        <is>
          <t>82623500-4/IDEAL S.A</t>
        </is>
      </c>
      <c r="I42" s="3" t="inlineStr">
        <is>
          <t>TVTD89</t>
        </is>
      </c>
      <c r="J42" s="2" t="n">
        <v>1</v>
      </c>
      <c r="K42" s="3" t="inlineStr">
        <is>
          <t>LO ESPEJO</t>
        </is>
      </c>
      <c r="L42" s="2" t="n">
        <v>1132</v>
      </c>
    </row>
    <row r="43">
      <c r="A43" s="4">
        <f>"119209"</f>
        <v/>
      </c>
      <c r="B43" s="4" t="inlineStr">
        <is>
          <t>HKOOB37046560</t>
        </is>
      </c>
      <c r="C43" s="4" t="inlineStr">
        <is>
          <t>13/05/2026</t>
        </is>
      </c>
      <c r="D43" s="4" t="inlineStr">
        <is>
          <t>03:58:34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5" t="inlineStr">
        <is>
          <t>DRPH69</t>
        </is>
      </c>
      <c r="J43" s="4" t="n">
        <v>1</v>
      </c>
      <c r="K43" s="5" t="inlineStr">
        <is>
          <t>RANCAGUA</t>
        </is>
      </c>
      <c r="L43" s="4" t="n">
        <v>1796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04:19:41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82623500-4/IDEAL S.A</t>
        </is>
      </c>
      <c r="I44" s="3" t="inlineStr">
        <is>
          <t>TVTD89</t>
        </is>
      </c>
      <c r="J44" s="2" t="n">
        <v>1</v>
      </c>
      <c r="K44" s="3" t="inlineStr">
        <is>
          <t>VINA DEL MAR</t>
        </is>
      </c>
      <c r="L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04:49:39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5" t="inlineStr">
        <is>
          <t>ZL7937</t>
        </is>
      </c>
      <c r="J45" s="4" t="n">
        <v>1</v>
      </c>
      <c r="K45" s="5" t="inlineStr">
        <is>
          <t>MELIPILLA</t>
        </is>
      </c>
      <c r="L45" s="4" t="n">
        <v>1754</v>
      </c>
    </row>
    <row r="46">
      <c r="A46" s="2">
        <f>"119212"</f>
        <v/>
      </c>
      <c r="B46" s="2" t="inlineStr">
        <is>
          <t>CHKO373745 / HKOOB37043861</t>
        </is>
      </c>
      <c r="C46" s="2" t="inlineStr">
        <is>
          <t>13/05/2026</t>
        </is>
      </c>
      <c r="D46" s="2" t="inlineStr">
        <is>
          <t>05:50:39</t>
        </is>
      </c>
      <c r="E46" s="2" t="inlineStr">
        <is>
          <t>mayo</t>
        </is>
      </c>
      <c r="F46" s="2" t="n">
        <v>2026</v>
      </c>
      <c r="G46" s="3" t="inlineStr">
        <is>
          <t>PTO MONTT / RUTA SOLITARIA ELPAC</t>
        </is>
      </c>
      <c r="H46" s="3" t="inlineStr">
        <is>
          <t>77636200-K/TRANSPORTES SAN GABRIEL LTDA.</t>
        </is>
      </c>
      <c r="I46" s="3" t="inlineStr">
        <is>
          <t>RHDX19</t>
        </is>
      </c>
      <c r="J46" s="2" t="n">
        <v>1</v>
      </c>
      <c r="K46" s="3" t="inlineStr">
        <is>
          <t>PTO MONTT / RUTA SOLITARIA ELPAC</t>
        </is>
      </c>
      <c r="L46" s="2" t="n">
        <v>1739</v>
      </c>
    </row>
    <row r="47">
      <c r="A47" s="4">
        <f>"38130"</f>
        <v/>
      </c>
      <c r="B47" s="4" t="inlineStr">
        <is>
          <t>HKOOB37046793</t>
        </is>
      </c>
      <c r="C47" s="4" t="inlineStr">
        <is>
          <t>13/05/2026</t>
        </is>
      </c>
      <c r="D47" s="4" t="inlineStr">
        <is>
          <t>06:07:15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82623500-4/IDEAL S.A</t>
        </is>
      </c>
      <c r="I47" s="5" t="inlineStr">
        <is>
          <t>TVTD89</t>
        </is>
      </c>
      <c r="J47" s="4" t="n">
        <v>1</v>
      </c>
      <c r="K47" s="5" t="inlineStr">
        <is>
          <t>EL PINAR</t>
        </is>
      </c>
      <c r="L47" s="4" t="n">
        <v>968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09:56:34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3" t="inlineStr">
        <is>
          <t>LTGY82</t>
        </is>
      </c>
      <c r="J48" s="2" t="n">
        <v>1</v>
      </c>
      <c r="K48" s="3" t="inlineStr">
        <is>
          <t>CONCEPCION</t>
        </is>
      </c>
      <c r="L48" s="2" t="n">
        <v>1678</v>
      </c>
    </row>
    <row r="49">
      <c r="A49" s="4">
        <f>"38164"</f>
        <v/>
      </c>
      <c r="B49" s="4" t="inlineStr">
        <is>
          <t>HKOOB37043860</t>
        </is>
      </c>
      <c r="C49" s="4" t="inlineStr">
        <is>
          <t>13/05/2026</t>
        </is>
      </c>
      <c r="D49" s="4" t="inlineStr">
        <is>
          <t>10:11:59</t>
        </is>
      </c>
      <c r="E49" s="4" t="inlineStr">
        <is>
          <t>mayo</t>
        </is>
      </c>
      <c r="F49" s="4" t="n">
        <v>2026</v>
      </c>
      <c r="G49" s="5" t="inlineStr">
        <is>
          <t>PTO MONTT</t>
        </is>
      </c>
      <c r="H49" s="5" t="inlineStr">
        <is>
          <t>77636200-K/TRANSPORTES SAN GABRIEL LTDA.</t>
        </is>
      </c>
      <c r="I49" s="5" t="inlineStr">
        <is>
          <t>PSLY21</t>
        </is>
      </c>
      <c r="J49" s="4" t="n">
        <v>1</v>
      </c>
      <c r="K49" s="5" t="inlineStr">
        <is>
          <t>PTO MONTT</t>
        </is>
      </c>
      <c r="L49" s="4" t="n">
        <v>1702</v>
      </c>
    </row>
    <row r="50">
      <c r="A50" s="2">
        <f>"38169"</f>
        <v/>
      </c>
      <c r="B50" s="2" t="inlineStr">
        <is>
          <t>HKOOB37046778</t>
        </is>
      </c>
      <c r="C50" s="2" t="inlineStr">
        <is>
          <t>13/05/2026</t>
        </is>
      </c>
      <c r="D50" s="2" t="inlineStr">
        <is>
          <t>11:17:45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82623500-4/IDEAL S.A</t>
        </is>
      </c>
      <c r="I50" s="3" t="inlineStr">
        <is>
          <t>TVTD89</t>
        </is>
      </c>
      <c r="J50" s="2" t="n">
        <v>1</v>
      </c>
      <c r="K50" s="3" t="inlineStr">
        <is>
          <t>LO ESPEJO</t>
        </is>
      </c>
      <c r="L50" s="2" t="n">
        <v>1320</v>
      </c>
    </row>
    <row r="51">
      <c r="A51" s="4">
        <f>"119215"</f>
        <v/>
      </c>
      <c r="B51" s="4" t="inlineStr">
        <is>
          <t>HKOOB37043863</t>
        </is>
      </c>
      <c r="C51" s="4" t="inlineStr">
        <is>
          <t>13/05/2026</t>
        </is>
      </c>
      <c r="D51" s="4" t="inlineStr">
        <is>
          <t>11:40:32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5" t="inlineStr">
        <is>
          <t>PFBS11</t>
        </is>
      </c>
      <c r="J51" s="4" t="n">
        <v>1</v>
      </c>
      <c r="K51" s="5" t="inlineStr">
        <is>
          <t>OSORNO</t>
        </is>
      </c>
      <c r="L51" s="4" t="n">
        <v>1840</v>
      </c>
    </row>
    <row r="52">
      <c r="A52" s="2">
        <f>"119216"</f>
        <v/>
      </c>
      <c r="B52" s="2" t="inlineStr">
        <is>
          <t>HKOOB37043841</t>
        </is>
      </c>
      <c r="C52" s="2" t="inlineStr">
        <is>
          <t>13/05/2026</t>
        </is>
      </c>
      <c r="D52" s="2" t="inlineStr">
        <is>
          <t>12:06:03</t>
        </is>
      </c>
      <c r="E52" s="2" t="inlineStr">
        <is>
          <t>mayo</t>
        </is>
      </c>
      <c r="F52" s="2" t="n">
        <v>2026</v>
      </c>
      <c r="G52" s="3" t="inlineStr">
        <is>
          <t>VALDIVIA</t>
        </is>
      </c>
      <c r="H52" s="3" t="inlineStr">
        <is>
          <t>77636200-K/TRANSPORTES SAN GABRIEL LTDA.</t>
        </is>
      </c>
      <c r="I52" s="3" t="inlineStr">
        <is>
          <t>PSLY27</t>
        </is>
      </c>
      <c r="J52" s="2" t="n">
        <v>1</v>
      </c>
      <c r="K52" s="3" t="inlineStr">
        <is>
          <t>VALDIVIA</t>
        </is>
      </c>
      <c r="L52" s="2" t="n">
        <v>1873</v>
      </c>
    </row>
    <row r="53">
      <c r="A53" s="4">
        <f>"119217"</f>
        <v/>
      </c>
      <c r="B53" s="4" t="inlineStr">
        <is>
          <t>HKOOB37046943</t>
        </is>
      </c>
      <c r="C53" s="4" t="inlineStr">
        <is>
          <t>13/05/2026</t>
        </is>
      </c>
      <c r="D53" s="4" t="inlineStr">
        <is>
          <t>12:33:54</t>
        </is>
      </c>
      <c r="E53" s="4" t="inlineStr">
        <is>
          <t>mayo</t>
        </is>
      </c>
      <c r="F53" s="4" t="n">
        <v>2026</v>
      </c>
      <c r="G53" s="5" t="inlineStr">
        <is>
          <t>LOS ANGELES</t>
        </is>
      </c>
      <c r="H53" s="5" t="inlineStr">
        <is>
          <t>82623500-4/IDEAL S.A</t>
        </is>
      </c>
      <c r="I53" s="5" t="inlineStr">
        <is>
          <t>PFBS15</t>
        </is>
      </c>
      <c r="J53" s="4" t="n">
        <v>1</v>
      </c>
      <c r="K53" s="5" t="inlineStr">
        <is>
          <t>LOS ANGELES</t>
        </is>
      </c>
      <c r="L53" s="4" t="n">
        <v>1665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12:49:38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3" t="inlineStr">
        <is>
          <t>PFBS18</t>
        </is>
      </c>
      <c r="J54" s="2" t="n">
        <v>1</v>
      </c>
      <c r="K54" s="3" t="inlineStr">
        <is>
          <t>TALCA</t>
        </is>
      </c>
      <c r="L54" s="2" t="n">
        <v>1523</v>
      </c>
    </row>
    <row r="55">
      <c r="A55" s="4">
        <f>"119219"</f>
        <v/>
      </c>
      <c r="B55" s="4" t="inlineStr">
        <is>
          <t>HKOOB37043859</t>
        </is>
      </c>
      <c r="C55" s="4" t="inlineStr">
        <is>
          <t>13/05/2026</t>
        </is>
      </c>
      <c r="D55" s="4" t="inlineStr">
        <is>
          <t>12:58:20</t>
        </is>
      </c>
      <c r="E55" s="4" t="inlineStr">
        <is>
          <t>mayo</t>
        </is>
      </c>
      <c r="F55" s="4" t="n">
        <v>2026</v>
      </c>
      <c r="G55" s="5" t="inlineStr">
        <is>
          <t>COPIAPO</t>
        </is>
      </c>
      <c r="H55" s="5" t="inlineStr">
        <is>
          <t>77636200-K/TRANSPORTES SAN GABRIEL LTDA.</t>
        </is>
      </c>
      <c r="I55" s="5" t="inlineStr">
        <is>
          <t>PSLY22</t>
        </is>
      </c>
      <c r="J55" s="4" t="n">
        <v>1</v>
      </c>
      <c r="K55" s="5" t="inlineStr">
        <is>
          <t>COPIAPO</t>
        </is>
      </c>
      <c r="L55" s="4" t="n">
        <v>1790</v>
      </c>
    </row>
    <row r="56">
      <c r="A56" s="2">
        <f>"119220"</f>
        <v/>
      </c>
      <c r="B56" s="2" t="inlineStr">
        <is>
          <t>HKOOB37046790</t>
        </is>
      </c>
      <c r="C56" s="2" t="inlineStr">
        <is>
          <t>13/05/2026</t>
        </is>
      </c>
      <c r="D56" s="2" t="inlineStr">
        <is>
          <t>13:10:48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16575553-7/GABRIEL ALEJANDRO ESTAY CARRAZANA</t>
        </is>
      </c>
      <c r="I56" s="3" t="inlineStr">
        <is>
          <t>LWBV80</t>
        </is>
      </c>
      <c r="J56" s="2" t="n">
        <v>1</v>
      </c>
      <c r="K56" s="3" t="inlineStr">
        <is>
          <t>VINA DEL MAR</t>
        </is>
      </c>
      <c r="L56" s="2" t="n">
        <v>1470</v>
      </c>
    </row>
    <row r="57">
      <c r="A57" s="4">
        <f>"38185"</f>
        <v/>
      </c>
      <c r="B57" s="4" t="inlineStr">
        <is>
          <t>HKOOB37046779</t>
        </is>
      </c>
      <c r="C57" s="4" t="inlineStr">
        <is>
          <t>13/05/2026</t>
        </is>
      </c>
      <c r="D57" s="4" t="inlineStr">
        <is>
          <t>13:21:40</t>
        </is>
      </c>
      <c r="E57" s="4" t="inlineStr">
        <is>
          <t>mayo</t>
        </is>
      </c>
      <c r="F57" s="4" t="n">
        <v>2026</v>
      </c>
      <c r="G57" s="5" t="inlineStr">
        <is>
          <t>LO ESPEJO</t>
        </is>
      </c>
      <c r="H57" s="5" t="inlineStr">
        <is>
          <t>82623500-4/IDEAL S.A</t>
        </is>
      </c>
      <c r="I57" s="5" t="inlineStr">
        <is>
          <t>TVTD89</t>
        </is>
      </c>
      <c r="J57" s="4" t="n">
        <v>1</v>
      </c>
      <c r="K57" s="5" t="inlineStr">
        <is>
          <t>LO ESPEJO</t>
        </is>
      </c>
      <c r="L57" s="4" t="n">
        <v>1165</v>
      </c>
    </row>
    <row r="58">
      <c r="A58" s="2">
        <f>"119221"</f>
        <v/>
      </c>
      <c r="B58" s="2" t="inlineStr">
        <is>
          <t>HKOOB37050391</t>
        </is>
      </c>
      <c r="C58" s="2" t="inlineStr">
        <is>
          <t>13/05/2026</t>
        </is>
      </c>
      <c r="D58" s="2" t="inlineStr">
        <is>
          <t>14:08:37</t>
        </is>
      </c>
      <c r="E58" s="2" t="inlineStr">
        <is>
          <t>mayo</t>
        </is>
      </c>
      <c r="F58" s="2" t="n">
        <v>2026</v>
      </c>
      <c r="G58" s="3" t="inlineStr">
        <is>
          <t>ANTOFAGASTA</t>
        </is>
      </c>
      <c r="H58" s="3" t="inlineStr">
        <is>
          <t>76746317-0/TRAILER LOGISTICS SPA</t>
        </is>
      </c>
      <c r="I58" s="3" t="inlineStr">
        <is>
          <t>169383100034484</t>
        </is>
      </c>
      <c r="J58" s="2" t="n">
        <v>1</v>
      </c>
      <c r="K58" s="3" t="inlineStr">
        <is>
          <t>ANTOFAGASTA</t>
        </is>
      </c>
      <c r="L58" s="2" t="n">
        <v>0</v>
      </c>
    </row>
    <row r="59">
      <c r="A59" s="4">
        <f>"119222"</f>
        <v/>
      </c>
      <c r="B59" s="4" t="inlineStr">
        <is>
          <t>HKOOB37043838</t>
        </is>
      </c>
      <c r="C59" s="4" t="inlineStr">
        <is>
          <t>13/05/2026</t>
        </is>
      </c>
      <c r="D59" s="4" t="inlineStr">
        <is>
          <t>15:45:25</t>
        </is>
      </c>
      <c r="E59" s="4" t="inlineStr">
        <is>
          <t>mayo</t>
        </is>
      </c>
      <c r="F59" s="4" t="n">
        <v>2026</v>
      </c>
      <c r="G59" s="5" t="inlineStr">
        <is>
          <t>TEMUCO</t>
        </is>
      </c>
      <c r="H59" s="5" t="inlineStr">
        <is>
          <t>77636200-K/TRANSPORTES SAN GABRIEL LTDA.</t>
        </is>
      </c>
      <c r="I59" s="5" t="inlineStr">
        <is>
          <t>PFBS12</t>
        </is>
      </c>
      <c r="J59" s="4" t="n">
        <v>1</v>
      </c>
      <c r="K59" s="5" t="inlineStr">
        <is>
          <t>TEMUCO</t>
        </is>
      </c>
      <c r="L59" s="4" t="n">
        <v>1803</v>
      </c>
    </row>
    <row r="60">
      <c r="A60" s="2">
        <f>"38195"</f>
        <v/>
      </c>
      <c r="B60" s="2" t="inlineStr">
        <is>
          <t>HKOOB37046780</t>
        </is>
      </c>
      <c r="C60" s="2" t="inlineStr">
        <is>
          <t>13/05/2026</t>
        </is>
      </c>
      <c r="D60" s="2" t="inlineStr">
        <is>
          <t>16:22:04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82623500-4/IDEAL S.A</t>
        </is>
      </c>
      <c r="I60" s="3" t="inlineStr">
        <is>
          <t>TVTD89</t>
        </is>
      </c>
      <c r="J60" s="2" t="n">
        <v>1</v>
      </c>
      <c r="K60" s="3" t="inlineStr">
        <is>
          <t>LO ESPEJO</t>
        </is>
      </c>
      <c r="L60" s="2" t="n">
        <v>1395</v>
      </c>
    </row>
    <row r="61">
      <c r="A61" s="4">
        <f>"38200"</f>
        <v/>
      </c>
      <c r="B61" s="4" t="inlineStr">
        <is>
          <t>HKOOB37046792</t>
        </is>
      </c>
      <c r="C61" s="4" t="inlineStr">
        <is>
          <t>13/05/2026</t>
        </is>
      </c>
      <c r="D61" s="4" t="inlineStr">
        <is>
          <t>17:42:57</t>
        </is>
      </c>
      <c r="E61" s="4" t="inlineStr">
        <is>
          <t>mayo</t>
        </is>
      </c>
      <c r="F61" s="4" t="n">
        <v>2026</v>
      </c>
      <c r="G61" s="5" t="inlineStr">
        <is>
          <t>EL PINAR</t>
        </is>
      </c>
      <c r="H61" s="5" t="inlineStr">
        <is>
          <t>82623500-4/IDEAL S.A</t>
        </is>
      </c>
      <c r="I61" s="5" t="inlineStr">
        <is>
          <t>STJR25</t>
        </is>
      </c>
      <c r="J61" s="4" t="n">
        <v>1</v>
      </c>
      <c r="K61" s="5" t="inlineStr">
        <is>
          <t>EL PINAR</t>
        </is>
      </c>
      <c r="L61" s="4" t="n">
        <v>1076</v>
      </c>
    </row>
    <row r="62">
      <c r="A62" s="2">
        <f>"119223"</f>
        <v/>
      </c>
      <c r="B62" s="2" t="inlineStr">
        <is>
          <t>HKOOB37043839</t>
        </is>
      </c>
      <c r="C62" s="2" t="inlineStr">
        <is>
          <t>13/05/2026</t>
        </is>
      </c>
      <c r="D62" s="2" t="inlineStr">
        <is>
          <t>18:02:09</t>
        </is>
      </c>
      <c r="E62" s="2" t="inlineStr">
        <is>
          <t>mayo</t>
        </is>
      </c>
      <c r="F62" s="2" t="n">
        <v>2026</v>
      </c>
      <c r="G62" s="3" t="inlineStr">
        <is>
          <t>TEMUCO</t>
        </is>
      </c>
      <c r="H62" s="3" t="inlineStr">
        <is>
          <t>77636200-K/TRANSPORTES SAN GABRIEL LTDA.</t>
        </is>
      </c>
      <c r="I62" s="3" t="inlineStr">
        <is>
          <t>PGKD18</t>
        </is>
      </c>
      <c r="J62" s="2" t="n">
        <v>1</v>
      </c>
      <c r="K62" s="3" t="inlineStr">
        <is>
          <t>TEMUCO</t>
        </is>
      </c>
      <c r="L62" s="2" t="n">
        <v>1655</v>
      </c>
    </row>
    <row r="63">
      <c r="A63" s="4">
        <f>"119224"</f>
        <v/>
      </c>
      <c r="B63" s="4" t="inlineStr">
        <is>
          <t>HKOOB37043862</t>
        </is>
      </c>
      <c r="C63" s="4" t="inlineStr">
        <is>
          <t>13/05/2026</t>
        </is>
      </c>
      <c r="D63" s="4" t="inlineStr">
        <is>
          <t>18:57:15</t>
        </is>
      </c>
      <c r="E63" s="4" t="inlineStr">
        <is>
          <t>mayo</t>
        </is>
      </c>
      <c r="F63" s="4" t="n">
        <v>2026</v>
      </c>
      <c r="G63" s="5" t="inlineStr">
        <is>
          <t>SAN FERNANDO</t>
        </is>
      </c>
      <c r="H63" s="5" t="inlineStr">
        <is>
          <t>76252773-1/GARATE Y GARATE LIMITADA</t>
        </is>
      </c>
      <c r="I63" s="5" t="inlineStr">
        <is>
          <t>FHDT82</t>
        </is>
      </c>
      <c r="J63" s="4" t="n">
        <v>1</v>
      </c>
      <c r="K63" s="5" t="inlineStr">
        <is>
          <t>SAN FERNANDO</t>
        </is>
      </c>
      <c r="L63" s="4" t="n">
        <v>1149</v>
      </c>
    </row>
    <row r="64">
      <c r="A64" s="2">
        <f>"119225"</f>
        <v/>
      </c>
      <c r="B64" s="2" t="inlineStr">
        <is>
          <t>HKOOB37043844</t>
        </is>
      </c>
      <c r="C64" s="2" t="inlineStr">
        <is>
          <t>13/05/2026</t>
        </is>
      </c>
      <c r="D64" s="2" t="inlineStr">
        <is>
          <t>19:57:17</t>
        </is>
      </c>
      <c r="E64" s="2" t="inlineStr">
        <is>
          <t>mayo</t>
        </is>
      </c>
      <c r="F64" s="2" t="n">
        <v>2026</v>
      </c>
      <c r="G64" s="3" t="inlineStr">
        <is>
          <t>CHILLAN</t>
        </is>
      </c>
      <c r="H64" s="3" t="inlineStr">
        <is>
          <t>77636200-K/TRANSPORTES SAN GABRIEL LTDA.</t>
        </is>
      </c>
      <c r="I64" s="3" t="inlineStr">
        <is>
          <t>PJKT54</t>
        </is>
      </c>
      <c r="J64" s="2" t="n">
        <v>1</v>
      </c>
      <c r="K64" s="3" t="inlineStr">
        <is>
          <t>CHILLAN</t>
        </is>
      </c>
      <c r="L64" s="2" t="n">
        <v>1818</v>
      </c>
    </row>
    <row r="65">
      <c r="A65" s="4">
        <f>"119226"</f>
        <v/>
      </c>
      <c r="B65" s="4" t="inlineStr">
        <is>
          <t>HKOOB37046789</t>
        </is>
      </c>
      <c r="C65" s="4" t="inlineStr">
        <is>
          <t>13/05/2026</t>
        </is>
      </c>
      <c r="D65" s="4" t="inlineStr">
        <is>
          <t>20:21:03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16575553-7/GABRIEL ALEJANDRO ESTAY CARRAZANA</t>
        </is>
      </c>
      <c r="I65" s="5" t="inlineStr">
        <is>
          <t>HVJX52</t>
        </is>
      </c>
      <c r="J65" s="4" t="n">
        <v>1</v>
      </c>
      <c r="K65" s="5" t="inlineStr">
        <is>
          <t>VINA DEL MAR</t>
        </is>
      </c>
      <c r="L65" s="4" t="n">
        <v>1554</v>
      </c>
    </row>
    <row r="66">
      <c r="A66" s="2">
        <f>"119227"</f>
        <v/>
      </c>
      <c r="B66" s="2" t="inlineStr">
        <is>
          <t>HKOOB37043855</t>
        </is>
      </c>
      <c r="C66" s="2" t="inlineStr">
        <is>
          <t>13/05/2026</t>
        </is>
      </c>
      <c r="D66" s="2" t="inlineStr">
        <is>
          <t>20:37:59</t>
        </is>
      </c>
      <c r="E66" s="2" t="inlineStr">
        <is>
          <t>mayo</t>
        </is>
      </c>
      <c r="F66" s="2" t="n">
        <v>2026</v>
      </c>
      <c r="G66" s="3" t="inlineStr">
        <is>
          <t>LA SERENA</t>
        </is>
      </c>
      <c r="H66" s="3" t="inlineStr">
        <is>
          <t>77636200-K/TRANSPORTES SAN GABRIEL LTDA.</t>
        </is>
      </c>
      <c r="I66" s="3" t="inlineStr">
        <is>
          <t>PGBY32</t>
        </is>
      </c>
      <c r="J66" s="2" t="n">
        <v>1</v>
      </c>
      <c r="K66" s="3" t="inlineStr">
        <is>
          <t>LA SERENA</t>
        </is>
      </c>
      <c r="L66" s="2" t="n">
        <v>1803</v>
      </c>
    </row>
    <row r="67">
      <c r="A67" s="4">
        <f>"119228"</f>
        <v/>
      </c>
      <c r="B67" s="4" t="inlineStr">
        <is>
          <t>HKOOB37043854</t>
        </is>
      </c>
      <c r="C67" s="4" t="inlineStr">
        <is>
          <t>13/05/2026</t>
        </is>
      </c>
      <c r="D67" s="4" t="inlineStr">
        <is>
          <t>21:00:06</t>
        </is>
      </c>
      <c r="E67" s="4" t="inlineStr">
        <is>
          <t>mayo</t>
        </is>
      </c>
      <c r="F67" s="4" t="n">
        <v>2026</v>
      </c>
      <c r="G67" s="5" t="inlineStr">
        <is>
          <t>TALCA</t>
        </is>
      </c>
      <c r="H67" s="5" t="inlineStr">
        <is>
          <t>77636200-K/TRANSPORTES SAN GABRIEL LTDA.</t>
        </is>
      </c>
      <c r="I67" s="5" t="inlineStr">
        <is>
          <t>LCTB56</t>
        </is>
      </c>
      <c r="J67" s="4" t="n">
        <v>1</v>
      </c>
      <c r="K67" s="5" t="inlineStr">
        <is>
          <t>TALCA</t>
        </is>
      </c>
      <c r="L67" s="4" t="n">
        <v>1774</v>
      </c>
    </row>
    <row r="68">
      <c r="A68" s="2">
        <f>"119229"</f>
        <v/>
      </c>
      <c r="B68" s="2" t="inlineStr">
        <is>
          <t>HKOOB37043849</t>
        </is>
      </c>
      <c r="C68" s="2" t="inlineStr">
        <is>
          <t>13/05/2026</t>
        </is>
      </c>
      <c r="D68" s="2" t="inlineStr">
        <is>
          <t>21:44:26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76746317-0/TRAILER LOGISTICS SPA</t>
        </is>
      </c>
      <c r="I68" s="3" t="inlineStr">
        <is>
          <t>VJWL64</t>
        </is>
      </c>
      <c r="J68" s="2" t="n">
        <v>1</v>
      </c>
      <c r="K68" s="3" t="inlineStr">
        <is>
          <t>CONCEPCION</t>
        </is>
      </c>
      <c r="L68" s="2" t="n">
        <v>20125</v>
      </c>
    </row>
    <row r="69">
      <c r="A69" s="4">
        <f>"38245"</f>
        <v/>
      </c>
      <c r="B69" s="4" t="inlineStr">
        <is>
          <t>HKOOB37046781</t>
        </is>
      </c>
      <c r="C69" s="4" t="inlineStr">
        <is>
          <t>13/05/2026</t>
        </is>
      </c>
      <c r="D69" s="4" t="inlineStr">
        <is>
          <t>23:31:58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TVTD-89</t>
        </is>
      </c>
      <c r="J69" s="4" t="n">
        <v>1</v>
      </c>
      <c r="K69" s="5" t="inlineStr">
        <is>
          <t>LO ESPEJO</t>
        </is>
      </c>
      <c r="L69" s="4" t="n">
        <v>1194</v>
      </c>
    </row>
    <row r="70">
      <c r="A70" s="2">
        <f>"38246"</f>
        <v/>
      </c>
      <c r="B70" s="2" t="inlineStr">
        <is>
          <t>HKOOB37046783</t>
        </is>
      </c>
      <c r="C70" s="2" t="inlineStr">
        <is>
          <t>13/05/2026</t>
        </is>
      </c>
      <c r="D70" s="2" t="inlineStr">
        <is>
          <t>23:41:13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STJR25</t>
        </is>
      </c>
      <c r="J70" s="2" t="n">
        <v>1</v>
      </c>
      <c r="K70" s="3" t="inlineStr">
        <is>
          <t>LO ESPEJO</t>
        </is>
      </c>
      <c r="L70" s="2" t="n">
        <v>1440</v>
      </c>
    </row>
    <row r="71">
      <c r="A71" s="4">
        <f>"38251"</f>
        <v/>
      </c>
      <c r="B71" s="4" t="inlineStr">
        <is>
          <t>HKOOB37046784</t>
        </is>
      </c>
      <c r="C71" s="4" t="inlineStr">
        <is>
          <t>14/05/2026</t>
        </is>
      </c>
      <c r="D71" s="4" t="inlineStr">
        <is>
          <t>00:02:05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TVTD89</t>
        </is>
      </c>
      <c r="J71" s="4" t="n">
        <v>1</v>
      </c>
      <c r="K71" s="5" t="inlineStr">
        <is>
          <t>LO ESPEJO</t>
        </is>
      </c>
      <c r="L71" s="4" t="n">
        <v>1308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01:54:33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82623500-4/IDEAL S.A</t>
        </is>
      </c>
      <c r="I72" s="3" t="inlineStr">
        <is>
          <t>STJR25</t>
        </is>
      </c>
      <c r="J72" s="2" t="n">
        <v>1</v>
      </c>
      <c r="K72" s="3" t="inlineStr">
        <is>
          <t>LO ESPEJO</t>
        </is>
      </c>
      <c r="L72" s="2" t="n">
        <v>1214</v>
      </c>
    </row>
    <row r="73">
      <c r="A73" s="4">
        <f>"119230"</f>
        <v/>
      </c>
      <c r="B73" s="4" t="inlineStr">
        <is>
          <t>HKOOB37052764</t>
        </is>
      </c>
      <c r="C73" s="4" t="inlineStr">
        <is>
          <t>14/05/2026</t>
        </is>
      </c>
      <c r="D73" s="4" t="inlineStr">
        <is>
          <t>02:12:26</t>
        </is>
      </c>
      <c r="E73" s="4" t="inlineStr">
        <is>
          <t>mayo</t>
        </is>
      </c>
      <c r="F73" s="4" t="n">
        <v>2026</v>
      </c>
      <c r="G73" s="5" t="inlineStr">
        <is>
          <t>VINA DEL MAR</t>
        </is>
      </c>
      <c r="H73" s="5" t="inlineStr">
        <is>
          <t>82623500-4/IDEAL S.A</t>
        </is>
      </c>
      <c r="I73" s="5" t="inlineStr">
        <is>
          <t>TVTD-89</t>
        </is>
      </c>
      <c r="J73" s="4" t="n">
        <v>1</v>
      </c>
      <c r="K73" s="5" t="inlineStr">
        <is>
          <t>VINA DEL MAR</t>
        </is>
      </c>
      <c r="L73" s="4" t="n">
        <v>1931</v>
      </c>
    </row>
    <row r="74">
      <c r="A74" s="2">
        <f>"38263"</f>
        <v/>
      </c>
      <c r="B74" s="2" t="inlineStr">
        <is>
          <t>HKOOB37046786</t>
        </is>
      </c>
      <c r="C74" s="2" t="inlineStr">
        <is>
          <t>14/05/2026</t>
        </is>
      </c>
      <c r="D74" s="2" t="inlineStr">
        <is>
          <t>02:54:15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TVTD89</t>
        </is>
      </c>
      <c r="J74" s="2" t="n">
        <v>1</v>
      </c>
      <c r="K74" s="3" t="inlineStr">
        <is>
          <t>LO ESPEJO</t>
        </is>
      </c>
      <c r="L74" s="2" t="n">
        <v>1157</v>
      </c>
    </row>
    <row r="75">
      <c r="A75" s="4">
        <f>"38265"</f>
        <v/>
      </c>
      <c r="B75" s="4" t="inlineStr">
        <is>
          <t>HKOOB37046787</t>
        </is>
      </c>
      <c r="C75" s="4" t="inlineStr">
        <is>
          <t>14/05/2026</t>
        </is>
      </c>
      <c r="D75" s="4" t="inlineStr">
        <is>
          <t>03:41:27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STJR25</t>
        </is>
      </c>
      <c r="J75" s="4" t="n">
        <v>1</v>
      </c>
      <c r="K75" s="5" t="inlineStr">
        <is>
          <t>LO ESPEJO</t>
        </is>
      </c>
      <c r="L75" s="4" t="n">
        <v>1342</v>
      </c>
    </row>
    <row r="76">
      <c r="A76" s="2">
        <f>"38267"</f>
        <v/>
      </c>
      <c r="B76" s="2" t="inlineStr">
        <is>
          <t>HKOOB37052758</t>
        </is>
      </c>
      <c r="C76" s="2" t="inlineStr">
        <is>
          <t>14/05/2026</t>
        </is>
      </c>
      <c r="D76" s="2" t="inlineStr">
        <is>
          <t>04:10:40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82623500-4/IDEAL S.A</t>
        </is>
      </c>
      <c r="I76" s="3" t="inlineStr">
        <is>
          <t>TVTD-89</t>
        </is>
      </c>
      <c r="J76" s="2" t="n">
        <v>1</v>
      </c>
      <c r="K76" s="3" t="inlineStr">
        <is>
          <t>LO ESPEJO</t>
        </is>
      </c>
      <c r="L76" s="2" t="n">
        <v>1318</v>
      </c>
    </row>
    <row r="77">
      <c r="A77" s="4">
        <f>"119232"</f>
        <v/>
      </c>
      <c r="B77" s="4" t="inlineStr">
        <is>
          <t>HKOOB37052457</t>
        </is>
      </c>
      <c r="C77" s="4" t="inlineStr">
        <is>
          <t>14/05/2026</t>
        </is>
      </c>
      <c r="D77" s="4" t="inlineStr">
        <is>
          <t>04:34:52</t>
        </is>
      </c>
      <c r="E77" s="4" t="inlineStr">
        <is>
          <t>mayo</t>
        </is>
      </c>
      <c r="F77" s="4" t="n">
        <v>2026</v>
      </c>
      <c r="G77" s="5" t="inlineStr">
        <is>
          <t>LOS ANDES</t>
        </is>
      </c>
      <c r="H77" s="5" t="inlineStr">
        <is>
          <t>77970090-9/TRANSPORTES DONA ISIDORA (LABBE)</t>
        </is>
      </c>
      <c r="I77" s="5" t="inlineStr">
        <is>
          <t>BWPL15</t>
        </is>
      </c>
      <c r="J77" s="4" t="n">
        <v>1</v>
      </c>
      <c r="K77" s="5" t="inlineStr">
        <is>
          <t>LOS ANDES</t>
        </is>
      </c>
      <c r="L77" s="4" t="n">
        <v>1458</v>
      </c>
    </row>
    <row r="78">
      <c r="A78" s="2">
        <f>"119231"</f>
        <v/>
      </c>
      <c r="B78" s="2" t="inlineStr">
        <is>
          <t>HKOOB37033361</t>
        </is>
      </c>
      <c r="C78" s="2" t="inlineStr">
        <is>
          <t>14/05/2026</t>
        </is>
      </c>
      <c r="D78" s="2" t="inlineStr">
        <is>
          <t>04:42:51</t>
        </is>
      </c>
      <c r="E78" s="2" t="inlineStr">
        <is>
          <t>mayo</t>
        </is>
      </c>
      <c r="F78" s="2" t="n">
        <v>2026</v>
      </c>
      <c r="G78" s="3" t="inlineStr">
        <is>
          <t>VINA DEL MAR</t>
        </is>
      </c>
      <c r="H78" s="3" t="inlineStr">
        <is>
          <t>16575553-7/GABRIEL ALEJANDRO ESTAY CARRAZANA</t>
        </is>
      </c>
      <c r="I78" s="3" t="inlineStr">
        <is>
          <t>LWBV80</t>
        </is>
      </c>
      <c r="J78" s="2" t="n">
        <v>1</v>
      </c>
      <c r="K78" s="3" t="inlineStr">
        <is>
          <t>VINA DEL MAR</t>
        </is>
      </c>
      <c r="L78" s="2" t="n">
        <v>1718</v>
      </c>
    </row>
    <row r="79">
      <c r="A79" s="4">
        <f>"119234"</f>
        <v/>
      </c>
      <c r="B79" s="4" t="inlineStr">
        <is>
          <t>HKOOB37052447</t>
        </is>
      </c>
      <c r="C79" s="4" t="inlineStr">
        <is>
          <t>14/05/2026</t>
        </is>
      </c>
      <c r="D79" s="4" t="inlineStr">
        <is>
          <t>05:32:55</t>
        </is>
      </c>
      <c r="E79" s="4" t="inlineStr">
        <is>
          <t>mayo</t>
        </is>
      </c>
      <c r="F79" s="4" t="n">
        <v>2026</v>
      </c>
      <c r="G79" s="5" t="inlineStr">
        <is>
          <t>RANCAGUA</t>
        </is>
      </c>
      <c r="H79" s="5" t="inlineStr">
        <is>
          <t>82623500-4/IDEAL S.A</t>
        </is>
      </c>
      <c r="I79" s="5" t="inlineStr">
        <is>
          <t>RZVS88</t>
        </is>
      </c>
      <c r="J79" s="4" t="n">
        <v>1</v>
      </c>
      <c r="K79" s="5" t="inlineStr">
        <is>
          <t>RANCAGUA</t>
        </is>
      </c>
      <c r="L79" s="4" t="n">
        <v>1770</v>
      </c>
    </row>
    <row r="80">
      <c r="A80" s="2">
        <f>"119233"</f>
        <v/>
      </c>
      <c r="B80" s="2" t="inlineStr">
        <is>
          <t>HKOOB37052451</t>
        </is>
      </c>
      <c r="C80" s="2" t="inlineStr">
        <is>
          <t>14/05/2026</t>
        </is>
      </c>
      <c r="D80" s="2" t="inlineStr">
        <is>
          <t>05:45:09</t>
        </is>
      </c>
      <c r="E80" s="2" t="inlineStr">
        <is>
          <t>mayo</t>
        </is>
      </c>
      <c r="F80" s="2" t="n">
        <v>2026</v>
      </c>
      <c r="G80" s="3" t="inlineStr">
        <is>
          <t>MELIPILLA</t>
        </is>
      </c>
      <c r="H80" s="3" t="inlineStr">
        <is>
          <t>77970090-9/TRANSPORTES DONA ISIDORA (LABBE)</t>
        </is>
      </c>
      <c r="I80" s="3" t="inlineStr">
        <is>
          <t>ZL7937</t>
        </is>
      </c>
      <c r="J80" s="2" t="n">
        <v>1</v>
      </c>
      <c r="K80" s="3" t="inlineStr">
        <is>
          <t>MELIPILLA</t>
        </is>
      </c>
      <c r="L80" s="2" t="n">
        <v>1598</v>
      </c>
    </row>
    <row r="81">
      <c r="A81" s="4">
        <f>"119235"</f>
        <v/>
      </c>
      <c r="B81" s="4" t="inlineStr">
        <is>
          <t>HKOOB37052445</t>
        </is>
      </c>
      <c r="C81" s="4" t="inlineStr">
        <is>
          <t>14/05/2026</t>
        </is>
      </c>
      <c r="D81" s="4" t="inlineStr">
        <is>
          <t>06:58:04</t>
        </is>
      </c>
      <c r="E81" s="4" t="inlineStr">
        <is>
          <t>mayo</t>
        </is>
      </c>
      <c r="F81" s="4" t="n">
        <v>2026</v>
      </c>
      <c r="G81" s="5" t="inlineStr">
        <is>
          <t>RANCAGUA</t>
        </is>
      </c>
      <c r="H81" s="5" t="inlineStr">
        <is>
          <t>76252773-1/GARATE Y GARATE LIMITADA</t>
        </is>
      </c>
      <c r="I81" s="5" t="inlineStr">
        <is>
          <t>DRPH69</t>
        </is>
      </c>
      <c r="J81" s="4" t="n">
        <v>1</v>
      </c>
      <c r="K81" s="5" t="inlineStr">
        <is>
          <t>RANCAGUA</t>
        </is>
      </c>
      <c r="L81" s="4" t="n">
        <v>1517</v>
      </c>
    </row>
    <row r="82">
      <c r="A82" s="2">
        <f>"119236"</f>
        <v/>
      </c>
      <c r="B82" s="2" t="inlineStr">
        <is>
          <t>HKOOB37053066</t>
        </is>
      </c>
      <c r="C82" s="2" t="inlineStr">
        <is>
          <t>14/05/2026</t>
        </is>
      </c>
      <c r="D82" s="2" t="inlineStr">
        <is>
          <t>08:41:25</t>
        </is>
      </c>
      <c r="E82" s="2" t="inlineStr">
        <is>
          <t>mayo</t>
        </is>
      </c>
      <c r="F82" s="2" t="n">
        <v>2026</v>
      </c>
      <c r="G82" s="3" t="inlineStr">
        <is>
          <t>VALDIVIA</t>
        </is>
      </c>
      <c r="H82" s="3" t="inlineStr">
        <is>
          <t>77636200-K/TRANSPORTES SAN GABRIEL LTDA.</t>
        </is>
      </c>
      <c r="I82" s="3" t="inlineStr">
        <is>
          <t>RFZY99</t>
        </is>
      </c>
      <c r="J82" s="2" t="n">
        <v>1</v>
      </c>
      <c r="K82" s="3" t="inlineStr">
        <is>
          <t>VALDIVIA</t>
        </is>
      </c>
      <c r="L82" s="2" t="n">
        <v>1810</v>
      </c>
    </row>
    <row r="83">
      <c r="A83" s="4">
        <f>"38309"</f>
        <v/>
      </c>
      <c r="B83" s="4" t="inlineStr">
        <is>
          <t>HKOOB37046795</t>
        </is>
      </c>
      <c r="C83" s="4" t="inlineStr">
        <is>
          <t>14/05/2026</t>
        </is>
      </c>
      <c r="D83" s="4" t="inlineStr">
        <is>
          <t>09:05:08</t>
        </is>
      </c>
      <c r="E83" s="4" t="inlineStr">
        <is>
          <t>mayo</t>
        </is>
      </c>
      <c r="F83" s="4" t="n">
        <v>2026</v>
      </c>
      <c r="G83" s="5" t="inlineStr">
        <is>
          <t>EL PINAR</t>
        </is>
      </c>
      <c r="H83" s="5" t="inlineStr">
        <is>
          <t>82623500-4/IDEAL S.A</t>
        </is>
      </c>
      <c r="I83" s="5" t="inlineStr">
        <is>
          <t>STJR25</t>
        </is>
      </c>
      <c r="J83" s="4" t="n">
        <v>1</v>
      </c>
      <c r="K83" s="5" t="inlineStr">
        <is>
          <t>EL PINAR</t>
        </is>
      </c>
      <c r="L83" s="4" t="n">
        <v>1285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10:51:28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3" t="inlineStr">
        <is>
          <t>LTGY83</t>
        </is>
      </c>
      <c r="J84" s="2" t="n">
        <v>1</v>
      </c>
      <c r="K84" s="3" t="inlineStr">
        <is>
          <t>PTO MONTT</t>
        </is>
      </c>
      <c r="L84" s="2" t="n">
        <v>1658</v>
      </c>
    </row>
    <row r="85">
      <c r="A85" s="4">
        <f>"38336"</f>
        <v/>
      </c>
      <c r="B85" s="4" t="inlineStr">
        <is>
          <t>HKOOB37052759</t>
        </is>
      </c>
      <c r="C85" s="4" t="inlineStr">
        <is>
          <t>14/05/2026</t>
        </is>
      </c>
      <c r="D85" s="4" t="inlineStr">
        <is>
          <t>11:21:16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82623500-4/IDEAL S.A</t>
        </is>
      </c>
      <c r="I85" s="5" t="inlineStr">
        <is>
          <t>STJR25</t>
        </is>
      </c>
      <c r="J85" s="4" t="n">
        <v>1</v>
      </c>
      <c r="K85" s="5" t="inlineStr">
        <is>
          <t>LO ESPEJO</t>
        </is>
      </c>
      <c r="L85" s="4" t="n">
        <v>1135</v>
      </c>
    </row>
    <row r="86">
      <c r="A86" s="2">
        <f>"119238"</f>
        <v/>
      </c>
      <c r="B86" s="2" t="inlineStr">
        <is>
          <t>HKOOB37052772</t>
        </is>
      </c>
      <c r="C86" s="2" t="inlineStr">
        <is>
          <t>14/05/2026</t>
        </is>
      </c>
      <c r="D86" s="2" t="inlineStr">
        <is>
          <t>11:28:56</t>
        </is>
      </c>
      <c r="E86" s="2" t="inlineStr">
        <is>
          <t>mayo</t>
        </is>
      </c>
      <c r="F86" s="2" t="n">
        <v>2026</v>
      </c>
      <c r="G86" s="3" t="inlineStr">
        <is>
          <t>IQUIQUE</t>
        </is>
      </c>
      <c r="H86" s="3" t="inlineStr">
        <is>
          <t>77636200-K/TRANSPORTES SAN GABRIEL LTDA.</t>
        </is>
      </c>
      <c r="I86" s="3" t="inlineStr">
        <is>
          <t>PFBS18</t>
        </is>
      </c>
      <c r="J86" s="2" t="n">
        <v>1</v>
      </c>
      <c r="K86" s="3" t="inlineStr">
        <is>
          <t>IQUIQUE</t>
        </is>
      </c>
      <c r="L86" s="2" t="n">
        <v>1920</v>
      </c>
    </row>
    <row r="87">
      <c r="A87" s="4">
        <f>"119239"</f>
        <v/>
      </c>
      <c r="B87" s="4" t="inlineStr">
        <is>
          <t>CHKO373825 / CHKO373844</t>
        </is>
      </c>
      <c r="C87" s="4" t="inlineStr">
        <is>
          <t>14/05/2026</t>
        </is>
      </c>
      <c r="D87" s="4" t="inlineStr">
        <is>
          <t>12:27:53</t>
        </is>
      </c>
      <c r="E87" s="4" t="inlineStr">
        <is>
          <t>mayo</t>
        </is>
      </c>
      <c r="F87" s="4" t="n">
        <v>2026</v>
      </c>
      <c r="G87" s="5" t="inlineStr">
        <is>
          <t>PTO MONTT / VALDIVIA</t>
        </is>
      </c>
      <c r="H87" s="5" t="inlineStr">
        <is>
          <t>77636200-K/TRANSPORTES SAN GABRIEL LTDA.</t>
        </is>
      </c>
      <c r="I87" s="5" t="inlineStr">
        <is>
          <t>LXHJ99</t>
        </is>
      </c>
      <c r="J87" s="4" t="n">
        <v>1</v>
      </c>
      <c r="K87" s="5" t="inlineStr">
        <is>
          <t>PTO MONTT / VALDIVIA</t>
        </is>
      </c>
      <c r="L87" s="4" t="n">
        <v>1679</v>
      </c>
    </row>
    <row r="88">
      <c r="A88" s="2">
        <f>"119240"</f>
        <v/>
      </c>
      <c r="B88" s="2" t="inlineStr">
        <is>
          <t>HKOOB37052442</t>
        </is>
      </c>
      <c r="C88" s="2" t="inlineStr">
        <is>
          <t>14/05/2026</t>
        </is>
      </c>
      <c r="D88" s="2" t="inlineStr">
        <is>
          <t>13:37:50</t>
        </is>
      </c>
      <c r="E88" s="2" t="inlineStr">
        <is>
          <t>mayo</t>
        </is>
      </c>
      <c r="F88" s="2" t="n">
        <v>2026</v>
      </c>
      <c r="G88" s="3" t="inlineStr">
        <is>
          <t>LOS ANGELES</t>
        </is>
      </c>
      <c r="H88" s="3" t="inlineStr">
        <is>
          <t>77636200-K/TRANSPORTES SAN GABRIEL LTDA.</t>
        </is>
      </c>
      <c r="I88" s="3" t="inlineStr">
        <is>
          <t>LCTB55</t>
        </is>
      </c>
      <c r="J88" s="2" t="n">
        <v>1</v>
      </c>
      <c r="K88" s="3" t="inlineStr">
        <is>
          <t>LOS ANGELES</t>
        </is>
      </c>
      <c r="L88" s="2" t="n">
        <v>1478</v>
      </c>
    </row>
    <row r="89">
      <c r="A89" s="4">
        <f>"119241"</f>
        <v/>
      </c>
      <c r="B89" s="4" t="inlineStr">
        <is>
          <t>HKOOB37052456</t>
        </is>
      </c>
      <c r="C89" s="4" t="inlineStr">
        <is>
          <t>14/05/2026</t>
        </is>
      </c>
      <c r="D89" s="4" t="inlineStr">
        <is>
          <t>13:39:25</t>
        </is>
      </c>
      <c r="E89" s="4" t="inlineStr">
        <is>
          <t>mayo</t>
        </is>
      </c>
      <c r="F89" s="4" t="n">
        <v>2026</v>
      </c>
      <c r="G89" s="5" t="inlineStr">
        <is>
          <t>TALCA</t>
        </is>
      </c>
      <c r="H89" s="5" t="inlineStr">
        <is>
          <t>77636200-K/TRANSPORTES SAN GABRIEL LTDA.</t>
        </is>
      </c>
      <c r="I89" s="5" t="inlineStr">
        <is>
          <t>PJJV10</t>
        </is>
      </c>
      <c r="J89" s="4" t="n">
        <v>1</v>
      </c>
      <c r="K89" s="5" t="inlineStr">
        <is>
          <t>TALCA</t>
        </is>
      </c>
      <c r="L89" s="4" t="n">
        <v>1558</v>
      </c>
    </row>
    <row r="90">
      <c r="A90" s="2">
        <f>"119242"</f>
        <v/>
      </c>
      <c r="B90" s="2" t="inlineStr">
        <is>
          <t>HKOOB37052453</t>
        </is>
      </c>
      <c r="C90" s="2" t="inlineStr">
        <is>
          <t>14/05/2026</t>
        </is>
      </c>
      <c r="D90" s="2" t="inlineStr">
        <is>
          <t>17:42:12</t>
        </is>
      </c>
      <c r="E90" s="2" t="inlineStr">
        <is>
          <t>mayo</t>
        </is>
      </c>
      <c r="F90" s="2" t="n">
        <v>2026</v>
      </c>
      <c r="G90" s="3" t="inlineStr">
        <is>
          <t>TEMUCO</t>
        </is>
      </c>
      <c r="H90" s="3" t="inlineStr">
        <is>
          <t>77636200-K/TRANSPORTES SAN GABRIEL LTDA.</t>
        </is>
      </c>
      <c r="I90" s="3" t="inlineStr">
        <is>
          <t>SVLV52</t>
        </is>
      </c>
      <c r="J90" s="2" t="n">
        <v>1</v>
      </c>
      <c r="K90" s="3" t="inlineStr">
        <is>
          <t>TEMUCO</t>
        </is>
      </c>
      <c r="L90" s="2" t="n">
        <v>1752</v>
      </c>
    </row>
    <row r="91">
      <c r="A91" s="4">
        <f>"119243"</f>
        <v/>
      </c>
      <c r="B91" s="4" t="inlineStr">
        <is>
          <t>CHKO373749 / CHKO373845</t>
        </is>
      </c>
      <c r="C91" s="4" t="inlineStr">
        <is>
          <t>14/05/2026</t>
        </is>
      </c>
      <c r="D91" s="4" t="inlineStr">
        <is>
          <t>19:06:57</t>
        </is>
      </c>
      <c r="E91" s="4" t="inlineStr">
        <is>
          <t>mayo</t>
        </is>
      </c>
      <c r="F91" s="4" t="n">
        <v>2026</v>
      </c>
      <c r="G91" s="5" t="inlineStr">
        <is>
          <t>SAN FERNANDO / TALCA</t>
        </is>
      </c>
      <c r="H91" s="5" t="inlineStr">
        <is>
          <t>76252773-1/GARATE Y GARATE LIMITADA</t>
        </is>
      </c>
      <c r="I91" s="5" t="inlineStr">
        <is>
          <t>FHDT82</t>
        </is>
      </c>
      <c r="J91" s="4" t="n">
        <v>1</v>
      </c>
      <c r="K91" s="5" t="inlineStr">
        <is>
          <t>SAN FERNANDO / TALCA</t>
        </is>
      </c>
      <c r="L91" s="4" t="n">
        <v>1627</v>
      </c>
    </row>
    <row r="92">
      <c r="A92" s="2">
        <f>"119244"</f>
        <v/>
      </c>
      <c r="B92" s="2" t="inlineStr">
        <is>
          <t>HKOOB37053076</t>
        </is>
      </c>
      <c r="C92" s="2" t="inlineStr">
        <is>
          <t>14/05/2026</t>
        </is>
      </c>
      <c r="D92" s="2" t="inlineStr">
        <is>
          <t>19:33:00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3" t="inlineStr">
        <is>
          <t>PJJV11</t>
        </is>
      </c>
      <c r="J92" s="2" t="n">
        <v>1</v>
      </c>
      <c r="K92" s="3" t="inlineStr">
        <is>
          <t>CONCEPCION</t>
        </is>
      </c>
      <c r="L92" s="2" t="n">
        <v>1470</v>
      </c>
    </row>
    <row r="93">
      <c r="A93" s="4">
        <f>"119245"</f>
        <v/>
      </c>
      <c r="B93" s="4" t="inlineStr">
        <is>
          <t>HKOOB37052449</t>
        </is>
      </c>
      <c r="C93" s="4" t="inlineStr">
        <is>
          <t>14/05/2026</t>
        </is>
      </c>
      <c r="D93" s="4" t="inlineStr">
        <is>
          <t>19:58:35</t>
        </is>
      </c>
      <c r="E93" s="4" t="inlineStr">
        <is>
          <t>mayo</t>
        </is>
      </c>
      <c r="F93" s="4" t="n">
        <v>2026</v>
      </c>
      <c r="G93" s="5" t="inlineStr">
        <is>
          <t>CHILLAN</t>
        </is>
      </c>
      <c r="H93" s="5" t="inlineStr">
        <is>
          <t>77636200-K/TRANSPORTES SAN GABRIEL LTDA.</t>
        </is>
      </c>
      <c r="I93" s="5" t="inlineStr">
        <is>
          <t>PJKT50</t>
        </is>
      </c>
      <c r="J93" s="4" t="n">
        <v>1</v>
      </c>
      <c r="K93" s="5" t="inlineStr">
        <is>
          <t>CHILLAN</t>
        </is>
      </c>
      <c r="L93" s="4" t="n">
        <v>1856</v>
      </c>
    </row>
    <row r="94">
      <c r="A94" s="2">
        <f>"119246"</f>
        <v/>
      </c>
      <c r="B94" s="2" t="inlineStr">
        <is>
          <t>HKOOB37052567</t>
        </is>
      </c>
      <c r="C94" s="2" t="inlineStr">
        <is>
          <t>14/05/2026</t>
        </is>
      </c>
      <c r="D94" s="2" t="inlineStr">
        <is>
          <t>23:24:34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3" t="inlineStr">
        <is>
          <t>SVLV43</t>
        </is>
      </c>
      <c r="J94" s="2" t="n">
        <v>1</v>
      </c>
      <c r="K94" s="3" t="inlineStr">
        <is>
          <t>LA SERENA</t>
        </is>
      </c>
      <c r="L94" s="2" t="n">
        <v>1577</v>
      </c>
    </row>
    <row r="95">
      <c r="A95" s="4">
        <f>"119247"</f>
        <v/>
      </c>
      <c r="B95" s="4" t="inlineStr">
        <is>
          <t>HKOOB37053075</t>
        </is>
      </c>
      <c r="C95" s="4" t="inlineStr">
        <is>
          <t>14/05/2026</t>
        </is>
      </c>
      <c r="D95" s="4" t="inlineStr">
        <is>
          <t>23:57:52</t>
        </is>
      </c>
      <c r="E95" s="4" t="inlineStr">
        <is>
          <t>mayo</t>
        </is>
      </c>
      <c r="F95" s="4" t="n">
        <v>2026</v>
      </c>
      <c r="G95" s="5" t="inlineStr">
        <is>
          <t>CONCEPCION</t>
        </is>
      </c>
      <c r="H95" s="5" t="inlineStr">
        <is>
          <t>76746317-0/TRAILER LOGISTICS SPA</t>
        </is>
      </c>
      <c r="I95" s="5" t="inlineStr">
        <is>
          <t>VJWL64</t>
        </is>
      </c>
      <c r="J95" s="4" t="n">
        <v>1</v>
      </c>
      <c r="K95" s="5" t="inlineStr">
        <is>
          <t>CONCEPCION</t>
        </is>
      </c>
      <c r="L95" s="4" t="n">
        <v>2004</v>
      </c>
    </row>
    <row r="96">
      <c r="A96" s="2">
        <f>"119248"</f>
        <v/>
      </c>
      <c r="B96" s="2" t="inlineStr">
        <is>
          <t>HKOOB37052769</t>
        </is>
      </c>
      <c r="C96" s="2" t="inlineStr">
        <is>
          <t>15/05/2026</t>
        </is>
      </c>
      <c r="D96" s="2" t="inlineStr">
        <is>
          <t>02:00:33</t>
        </is>
      </c>
      <c r="E96" s="2" t="inlineStr">
        <is>
          <t>mayo</t>
        </is>
      </c>
      <c r="F96" s="2" t="n">
        <v>2026</v>
      </c>
      <c r="G96" s="3" t="inlineStr">
        <is>
          <t>LA SERENA</t>
        </is>
      </c>
      <c r="H96" s="3" t="inlineStr">
        <is>
          <t>77636200-K/TRANSPORTES SAN GABRIEL LTDA.</t>
        </is>
      </c>
      <c r="I96" s="3" t="inlineStr">
        <is>
          <t>PFBS15</t>
        </is>
      </c>
      <c r="J96" s="2" t="n">
        <v>1</v>
      </c>
      <c r="K96" s="3" t="inlineStr">
        <is>
          <t>LA SERENA</t>
        </is>
      </c>
      <c r="L96" s="2" t="n">
        <v>1539</v>
      </c>
    </row>
    <row r="97">
      <c r="A97" s="4">
        <f>"119249"</f>
        <v/>
      </c>
      <c r="B97" s="4" t="inlineStr">
        <is>
          <t>HKOOB37058749</t>
        </is>
      </c>
      <c r="C97" s="4" t="inlineStr">
        <is>
          <t>15/05/2026</t>
        </is>
      </c>
      <c r="D97" s="4" t="inlineStr">
        <is>
          <t>02:11:23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82623500-4/IDEAL S.A</t>
        </is>
      </c>
      <c r="I97" s="5" t="inlineStr">
        <is>
          <t>STJR25</t>
        </is>
      </c>
      <c r="J97" s="4" t="n">
        <v>1</v>
      </c>
      <c r="K97" s="5" t="inlineStr">
        <is>
          <t>VINA DEL MAR</t>
        </is>
      </c>
      <c r="L97" s="4" t="n">
        <v>1755</v>
      </c>
    </row>
    <row r="98">
      <c r="A98" s="2">
        <f>"119250"</f>
        <v/>
      </c>
      <c r="B98" s="2" t="inlineStr">
        <is>
          <t>HKOOB37052765</t>
        </is>
      </c>
      <c r="C98" s="2" t="inlineStr">
        <is>
          <t>15/05/2026</t>
        </is>
      </c>
      <c r="D98" s="2" t="inlineStr">
        <is>
          <t>03:21:47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3" t="inlineStr">
        <is>
          <t>LWBV80</t>
        </is>
      </c>
      <c r="J98" s="2" t="n">
        <v>1</v>
      </c>
      <c r="K98" s="3" t="inlineStr">
        <is>
          <t>VINA DEL MAR</t>
        </is>
      </c>
      <c r="L98" s="2" t="n">
        <v>1615</v>
      </c>
    </row>
    <row r="99">
      <c r="A99" s="4">
        <f>"119252"</f>
        <v/>
      </c>
      <c r="B99" s="4" t="inlineStr">
        <is>
          <t>HKOOB37058510</t>
        </is>
      </c>
      <c r="C99" s="4" t="inlineStr">
        <is>
          <t>15/05/2026</t>
        </is>
      </c>
      <c r="D99" s="4" t="inlineStr">
        <is>
          <t>04:03:35</t>
        </is>
      </c>
      <c r="E99" s="4" t="inlineStr">
        <is>
          <t>mayo</t>
        </is>
      </c>
      <c r="F99" s="4" t="n">
        <v>2026</v>
      </c>
      <c r="G99" s="5" t="inlineStr">
        <is>
          <t>LOS ANDES</t>
        </is>
      </c>
      <c r="H99" s="5" t="inlineStr">
        <is>
          <t>77970090-9/TRANSPORTES DONA ISIDORA (LABBE)</t>
        </is>
      </c>
      <c r="I99" s="5" t="inlineStr">
        <is>
          <t>BWPL15</t>
        </is>
      </c>
      <c r="J99" s="4" t="n">
        <v>1</v>
      </c>
      <c r="K99" s="5" t="inlineStr">
        <is>
          <t>LOS ANDES</t>
        </is>
      </c>
      <c r="L99" s="4" t="n">
        <v>896</v>
      </c>
    </row>
    <row r="100">
      <c r="A100" s="2">
        <f>"119251"</f>
        <v/>
      </c>
      <c r="B100" s="2" t="inlineStr">
        <is>
          <t>HKOOB37058567</t>
        </is>
      </c>
      <c r="C100" s="2" t="inlineStr">
        <is>
          <t>15/05/2026</t>
        </is>
      </c>
      <c r="D100" s="2" t="inlineStr">
        <is>
          <t>04:14:44</t>
        </is>
      </c>
      <c r="E100" s="2" t="inlineStr">
        <is>
          <t>mayo</t>
        </is>
      </c>
      <c r="F100" s="2" t="n">
        <v>2026</v>
      </c>
      <c r="G100" s="3" t="inlineStr">
        <is>
          <t>MELIPILLA</t>
        </is>
      </c>
      <c r="H100" s="3" t="inlineStr">
        <is>
          <t>77970090-9/TRANSPORTES DONA ISIDORA (LABBE)</t>
        </is>
      </c>
      <c r="I100" s="3" t="inlineStr">
        <is>
          <t>ZL7937</t>
        </is>
      </c>
      <c r="J100" s="2" t="n">
        <v>1</v>
      </c>
      <c r="K100" s="3" t="inlineStr">
        <is>
          <t>MELIPILLA</t>
        </is>
      </c>
      <c r="L100" s="2" t="n">
        <v>1614</v>
      </c>
    </row>
    <row r="101">
      <c r="A101" s="4">
        <f>"38417"</f>
        <v/>
      </c>
      <c r="B101" s="4" t="inlineStr">
        <is>
          <t>HKOOB37052762</t>
        </is>
      </c>
      <c r="C101" s="4" t="inlineStr">
        <is>
          <t>15/05/2026</t>
        </is>
      </c>
      <c r="D101" s="4" t="inlineStr">
        <is>
          <t>04:30:04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82623500-4/IDEAL S.A</t>
        </is>
      </c>
      <c r="I101" s="5" t="inlineStr">
        <is>
          <t>TVTD89</t>
        </is>
      </c>
      <c r="J101" s="4" t="n">
        <v>1</v>
      </c>
      <c r="K101" s="5" t="inlineStr">
        <is>
          <t>EL PINAR</t>
        </is>
      </c>
      <c r="L101" s="4" t="n">
        <v>1077</v>
      </c>
    </row>
    <row r="102">
      <c r="A102" s="2">
        <f>"119253"</f>
        <v/>
      </c>
      <c r="B102" s="2" t="inlineStr">
        <is>
          <t>HKOOB37058555</t>
        </is>
      </c>
      <c r="C102" s="2" t="inlineStr">
        <is>
          <t>15/05/2026</t>
        </is>
      </c>
      <c r="D102" s="2" t="inlineStr">
        <is>
          <t>04:57:42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3" t="inlineStr">
        <is>
          <t>PGBY32</t>
        </is>
      </c>
      <c r="J102" s="2" t="n">
        <v>1</v>
      </c>
      <c r="K102" s="3" t="inlineStr">
        <is>
          <t>PTO MONTT</t>
        </is>
      </c>
      <c r="L102" s="2" t="n">
        <v>1827</v>
      </c>
    </row>
    <row r="103">
      <c r="A103" s="4">
        <f>"119254"</f>
        <v/>
      </c>
      <c r="B103" s="4" t="inlineStr">
        <is>
          <t>HKOOB37058504</t>
        </is>
      </c>
      <c r="C103" s="4" t="inlineStr">
        <is>
          <t>15/05/2026</t>
        </is>
      </c>
      <c r="D103" s="4" t="inlineStr">
        <is>
          <t>05:34:22</t>
        </is>
      </c>
      <c r="E103" s="4" t="inlineStr">
        <is>
          <t>mayo</t>
        </is>
      </c>
      <c r="F103" s="4" t="n">
        <v>2026</v>
      </c>
      <c r="G103" s="5" t="inlineStr">
        <is>
          <t>RANCAGUA</t>
        </is>
      </c>
      <c r="H103" s="5" t="inlineStr">
        <is>
          <t>76252773-1/GARATE Y GARATE LIMITADA</t>
        </is>
      </c>
      <c r="I103" s="5" t="inlineStr">
        <is>
          <t>DRPH69</t>
        </is>
      </c>
      <c r="J103" s="4" t="n">
        <v>1</v>
      </c>
      <c r="K103" s="5" t="inlineStr">
        <is>
          <t>RANCAGUA</t>
        </is>
      </c>
      <c r="L103" s="4" t="n">
        <v>1664</v>
      </c>
    </row>
    <row r="104">
      <c r="A104" s="2">
        <f>"38426"</f>
        <v/>
      </c>
      <c r="B104" s="2" t="inlineStr">
        <is>
          <t>HKOOB37052763</t>
        </is>
      </c>
      <c r="C104" s="2" t="inlineStr">
        <is>
          <t>15/05/2026</t>
        </is>
      </c>
      <c r="D104" s="2" t="inlineStr">
        <is>
          <t>06:10:50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82623500-4/IDEAL S.A</t>
        </is>
      </c>
      <c r="I104" s="3" t="inlineStr">
        <is>
          <t>TVTD89</t>
        </is>
      </c>
      <c r="J104" s="2" t="n">
        <v>1</v>
      </c>
      <c r="K104" s="3" t="inlineStr">
        <is>
          <t>EL PINAR</t>
        </is>
      </c>
      <c r="L104" s="2" t="n">
        <v>1159</v>
      </c>
    </row>
    <row r="105">
      <c r="A105" s="4">
        <f>"119255"</f>
        <v/>
      </c>
      <c r="B105" s="4" t="inlineStr">
        <is>
          <t>CHKO373695 / CHKO373826</t>
        </is>
      </c>
      <c r="C105" s="4" t="inlineStr">
        <is>
          <t>15/05/2026</t>
        </is>
      </c>
      <c r="D105" s="4" t="inlineStr">
        <is>
          <t>10:23:23</t>
        </is>
      </c>
      <c r="E105" s="4" t="inlineStr">
        <is>
          <t>mayo</t>
        </is>
      </c>
      <c r="F105" s="4" t="n">
        <v>2026</v>
      </c>
      <c r="G105" s="5" t="inlineStr">
        <is>
          <t>LOS ANGELES / TEMUCO</t>
        </is>
      </c>
      <c r="H105" s="5" t="inlineStr">
        <is>
          <t>77636200-K/TRANSPORTES SAN GABRIEL LTDA.</t>
        </is>
      </c>
      <c r="I105" s="5" t="inlineStr">
        <is>
          <t>PJJV29</t>
        </is>
      </c>
      <c r="J105" s="4" t="n">
        <v>1</v>
      </c>
      <c r="K105" s="5" t="inlineStr">
        <is>
          <t>LOS ANGELES / TEMUCO</t>
        </is>
      </c>
      <c r="L105" s="4" t="n">
        <v>1532</v>
      </c>
    </row>
    <row r="106">
      <c r="A106" s="2">
        <f>"119256"</f>
        <v/>
      </c>
      <c r="B106" s="2" t="inlineStr">
        <is>
          <t>HKOOB37058768</t>
        </is>
      </c>
      <c r="C106" s="2" t="inlineStr">
        <is>
          <t>15/05/2026</t>
        </is>
      </c>
      <c r="D106" s="2" t="inlineStr">
        <is>
          <t>11:44:06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3" t="inlineStr">
        <is>
          <t>RHDS15</t>
        </is>
      </c>
      <c r="J106" s="2" t="n">
        <v>1</v>
      </c>
      <c r="K106" s="3" t="inlineStr">
        <is>
          <t>ANTOFAGASTA</t>
        </is>
      </c>
      <c r="L106" s="2" t="n">
        <v>2318</v>
      </c>
    </row>
    <row r="107">
      <c r="A107" s="4">
        <f>"38464"</f>
        <v/>
      </c>
      <c r="B107" s="4" t="inlineStr">
        <is>
          <t>HKOOB37058739</t>
        </is>
      </c>
      <c r="C107" s="4" t="inlineStr">
        <is>
          <t>15/05/2026</t>
        </is>
      </c>
      <c r="D107" s="4" t="inlineStr">
        <is>
          <t>12:10:40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82623500-4/IDEAL S.A</t>
        </is>
      </c>
      <c r="I107" s="5" t="inlineStr">
        <is>
          <t>TVTD89</t>
        </is>
      </c>
      <c r="J107" s="4" t="n">
        <v>1</v>
      </c>
      <c r="K107" s="5" t="inlineStr">
        <is>
          <t>LO ESPEJO</t>
        </is>
      </c>
      <c r="L107" s="4" t="n">
        <v>1560</v>
      </c>
    </row>
    <row r="108">
      <c r="A108" s="2">
        <f>"119257"</f>
        <v/>
      </c>
      <c r="B108" s="2" t="inlineStr">
        <is>
          <t>HKOOB37058554</t>
        </is>
      </c>
      <c r="C108" s="2" t="inlineStr">
        <is>
          <t>15/05/2026</t>
        </is>
      </c>
      <c r="D108" s="2" t="inlineStr">
        <is>
          <t>12:35:17</t>
        </is>
      </c>
      <c r="E108" s="2" t="inlineStr">
        <is>
          <t>mayo</t>
        </is>
      </c>
      <c r="F108" s="2" t="n">
        <v>2026</v>
      </c>
      <c r="G108" s="3" t="inlineStr">
        <is>
          <t>PTO MONTT</t>
        </is>
      </c>
      <c r="H108" s="3" t="inlineStr">
        <is>
          <t>77636200-K/TRANSPORTES SAN GABRIEL LTDA.</t>
        </is>
      </c>
      <c r="I108" s="3" t="inlineStr">
        <is>
          <t>PSLY22</t>
        </is>
      </c>
      <c r="J108" s="2" t="n">
        <v>1</v>
      </c>
      <c r="K108" s="3" t="inlineStr">
        <is>
          <t>PTO MONTT</t>
        </is>
      </c>
      <c r="L108" s="2" t="n">
        <v>1586</v>
      </c>
    </row>
    <row r="109">
      <c r="A109" s="4">
        <f>"119258"</f>
        <v/>
      </c>
      <c r="B109" s="4" t="inlineStr">
        <is>
          <t>CHKO373754 / CHKO373867 / CHKO373905</t>
        </is>
      </c>
      <c r="C109" s="4" t="inlineStr">
        <is>
          <t>15/05/2026</t>
        </is>
      </c>
      <c r="D109" s="4" t="inlineStr">
        <is>
          <t>13:14:43</t>
        </is>
      </c>
      <c r="E109" s="4" t="inlineStr">
        <is>
          <t>mayo</t>
        </is>
      </c>
      <c r="F109" s="4" t="n">
        <v>2026</v>
      </c>
      <c r="G109" s="5" t="inlineStr">
        <is>
          <t>LA SERENA / RUTA SOLITARIA 1059 LV</t>
        </is>
      </c>
      <c r="H109" s="5" t="inlineStr">
        <is>
          <t>77636200-K/TRANSPORTES SAN GABRIEL LTDA.</t>
        </is>
      </c>
      <c r="I109" s="5" t="inlineStr">
        <is>
          <t>PJKT54</t>
        </is>
      </c>
      <c r="J109" s="4" t="n">
        <v>1</v>
      </c>
      <c r="K109" s="5" t="inlineStr">
        <is>
          <t>LA SERENA / RUTA SOLITARIA 1059 LV</t>
        </is>
      </c>
      <c r="L109" s="4" t="n">
        <v>1708</v>
      </c>
    </row>
    <row r="110">
      <c r="A110" s="2">
        <f>"119259"</f>
        <v/>
      </c>
      <c r="B110" s="2" t="inlineStr">
        <is>
          <t>HKOOB37058546</t>
        </is>
      </c>
      <c r="C110" s="2" t="inlineStr">
        <is>
          <t>15/05/2026</t>
        </is>
      </c>
      <c r="D110" s="2" t="inlineStr">
        <is>
          <t>13:35:37</t>
        </is>
      </c>
      <c r="E110" s="2" t="inlineStr">
        <is>
          <t>mayo</t>
        </is>
      </c>
      <c r="F110" s="2" t="n">
        <v>2026</v>
      </c>
      <c r="G110" s="3" t="inlineStr">
        <is>
          <t>OSORNO</t>
        </is>
      </c>
      <c r="H110" s="3" t="inlineStr">
        <is>
          <t>77636200-K/TRANSPORTES SAN GABRIEL LTDA.</t>
        </is>
      </c>
      <c r="I110" s="3" t="inlineStr">
        <is>
          <t>LCTB56</t>
        </is>
      </c>
      <c r="J110" s="2" t="n">
        <v>1</v>
      </c>
      <c r="K110" s="3" t="inlineStr">
        <is>
          <t>OSORNO</t>
        </is>
      </c>
      <c r="L110" s="2" t="n">
        <v>1877</v>
      </c>
    </row>
    <row r="111">
      <c r="A111" s="4">
        <f>"119260"</f>
        <v/>
      </c>
      <c r="B111" s="4" t="inlineStr">
        <is>
          <t>HKOOB37058526</t>
        </is>
      </c>
      <c r="C111" s="4" t="inlineStr">
        <is>
          <t>15/05/2026</t>
        </is>
      </c>
      <c r="D111" s="4" t="inlineStr">
        <is>
          <t>13:52:18</t>
        </is>
      </c>
      <c r="E111" s="4" t="inlineStr">
        <is>
          <t>mayo</t>
        </is>
      </c>
      <c r="F111" s="4" t="n">
        <v>2026</v>
      </c>
      <c r="G111" s="5" t="inlineStr">
        <is>
          <t>TEMUCO</t>
        </is>
      </c>
      <c r="H111" s="5" t="inlineStr">
        <is>
          <t>77970090-9/TRANSPORTES DONA ISIDORA (LABBE)</t>
        </is>
      </c>
      <c r="I111" s="5" t="inlineStr">
        <is>
          <t>CGHG65</t>
        </is>
      </c>
      <c r="J111" s="4" t="n">
        <v>1</v>
      </c>
      <c r="K111" s="5" t="inlineStr">
        <is>
          <t>TEMUCO</t>
        </is>
      </c>
      <c r="L111" s="4" t="n">
        <v>1820</v>
      </c>
    </row>
    <row r="112">
      <c r="A112" s="2">
        <f>"119261"</f>
        <v/>
      </c>
      <c r="B112" s="2" t="inlineStr">
        <is>
          <t>HKOOB37052768 / HKOOB37058514</t>
        </is>
      </c>
      <c r="C112" s="2" t="inlineStr">
        <is>
          <t>15/05/2026</t>
        </is>
      </c>
      <c r="D112" s="2" t="inlineStr">
        <is>
          <t>15:13:48</t>
        </is>
      </c>
      <c r="E112" s="2" t="inlineStr">
        <is>
          <t>mayo</t>
        </is>
      </c>
      <c r="F112" s="2" t="n">
        <v>2026</v>
      </c>
      <c r="G112" s="3" t="inlineStr">
        <is>
          <t>COPIAPO / LA SERENA</t>
        </is>
      </c>
      <c r="H112" s="3" t="inlineStr">
        <is>
          <t>77636200-K/TRANSPORTES SAN GABRIEL LTDA.</t>
        </is>
      </c>
      <c r="I112" s="3" t="inlineStr">
        <is>
          <t>PSLY27</t>
        </is>
      </c>
      <c r="J112" s="2" t="n">
        <v>1</v>
      </c>
      <c r="K112" s="3" t="inlineStr">
        <is>
          <t>COPIAPO / LA SERENA</t>
        </is>
      </c>
      <c r="L112" s="2" t="n">
        <v>1605</v>
      </c>
    </row>
    <row r="113">
      <c r="A113" s="4">
        <f>"119262"</f>
        <v/>
      </c>
      <c r="B113" s="4" t="inlineStr">
        <is>
          <t>HKOOB37058565</t>
        </is>
      </c>
      <c r="C113" s="4" t="inlineStr">
        <is>
          <t>15/05/2026</t>
        </is>
      </c>
      <c r="D113" s="4" t="inlineStr">
        <is>
          <t>15:53:30</t>
        </is>
      </c>
      <c r="E113" s="4" t="inlineStr">
        <is>
          <t>mayo</t>
        </is>
      </c>
      <c r="F113" s="4" t="n">
        <v>2026</v>
      </c>
      <c r="G113" s="5" t="inlineStr">
        <is>
          <t>TALCA</t>
        </is>
      </c>
      <c r="H113" s="5" t="inlineStr">
        <is>
          <t>77970090-9/TRANSPORTES DONA ISIDORA (LABBE)</t>
        </is>
      </c>
      <c r="I113" s="5" t="inlineStr">
        <is>
          <t>FXRL17</t>
        </is>
      </c>
      <c r="J113" s="4" t="n">
        <v>1</v>
      </c>
      <c r="K113" s="5" t="inlineStr">
        <is>
          <t>TALCA</t>
        </is>
      </c>
      <c r="L113" s="4" t="n">
        <v>1634</v>
      </c>
    </row>
    <row r="114">
      <c r="A114" s="2">
        <f>"119263"</f>
        <v/>
      </c>
      <c r="B114" s="2" t="inlineStr">
        <is>
          <t>HKOOB37058519</t>
        </is>
      </c>
      <c r="C114" s="2" t="inlineStr">
        <is>
          <t>15/05/2026</t>
        </is>
      </c>
      <c r="D114" s="2" t="inlineStr">
        <is>
          <t>16:59:36</t>
        </is>
      </c>
      <c r="E114" s="2" t="inlineStr">
        <is>
          <t>mayo</t>
        </is>
      </c>
      <c r="F114" s="2" t="n">
        <v>2026</v>
      </c>
      <c r="G114" s="3" t="inlineStr">
        <is>
          <t>ARICA</t>
        </is>
      </c>
      <c r="H114" s="3" t="inlineStr">
        <is>
          <t>77636200-K/TRANSPORTES SAN GABRIEL LTDA.</t>
        </is>
      </c>
      <c r="I114" s="3" t="inlineStr">
        <is>
          <t>PJJV10</t>
        </is>
      </c>
      <c r="J114" s="2" t="n">
        <v>1</v>
      </c>
      <c r="K114" s="3" t="inlineStr">
        <is>
          <t>ARICA</t>
        </is>
      </c>
      <c r="L114" s="2" t="n">
        <v>1820</v>
      </c>
    </row>
    <row r="115">
      <c r="A115" s="4">
        <f>"38504"</f>
        <v/>
      </c>
      <c r="B115" s="4" t="inlineStr">
        <is>
          <t>HKOOB37058753</t>
        </is>
      </c>
      <c r="C115" s="4" t="inlineStr">
        <is>
          <t>15/05/2026</t>
        </is>
      </c>
      <c r="D115" s="4" t="inlineStr">
        <is>
          <t>18:31:21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82623500-4/IDEAL S.A</t>
        </is>
      </c>
      <c r="I115" s="5" t="inlineStr">
        <is>
          <t>STJR25</t>
        </is>
      </c>
      <c r="J115" s="4" t="n">
        <v>1</v>
      </c>
      <c r="K115" s="5" t="inlineStr">
        <is>
          <t>EL PINAR</t>
        </is>
      </c>
      <c r="L115" s="4" t="n">
        <v>1076</v>
      </c>
    </row>
    <row r="116">
      <c r="A116" s="2">
        <f>"119264"</f>
        <v/>
      </c>
      <c r="B116" s="2" t="inlineStr">
        <is>
          <t>HKOOB37058525</t>
        </is>
      </c>
      <c r="C116" s="2" t="inlineStr">
        <is>
          <t>15/05/2026</t>
        </is>
      </c>
      <c r="D116" s="2" t="inlineStr">
        <is>
          <t>18:48:56</t>
        </is>
      </c>
      <c r="E116" s="2" t="inlineStr">
        <is>
          <t>mayo</t>
        </is>
      </c>
      <c r="F116" s="2" t="n">
        <v>2026</v>
      </c>
      <c r="G116" s="3" t="inlineStr">
        <is>
          <t>TEMUCO</t>
        </is>
      </c>
      <c r="H116" s="3" t="inlineStr">
        <is>
          <t>77636200-K/TRANSPORTES SAN GABRIEL LTDA.</t>
        </is>
      </c>
      <c r="I116" s="3" t="inlineStr">
        <is>
          <t>LTGY82</t>
        </is>
      </c>
      <c r="J116" s="2" t="n">
        <v>1</v>
      </c>
      <c r="K116" s="3" t="inlineStr">
        <is>
          <t>TEMUCO</t>
        </is>
      </c>
      <c r="L116" s="2" t="n">
        <v>1832</v>
      </c>
    </row>
    <row r="117">
      <c r="A117" s="4">
        <f>"119265"</f>
        <v/>
      </c>
      <c r="B117" s="4" t="inlineStr">
        <is>
          <t>HKOOB37058750</t>
        </is>
      </c>
      <c r="C117" s="4" t="inlineStr">
        <is>
          <t>15/05/2026</t>
        </is>
      </c>
      <c r="D117" s="4" t="inlineStr">
        <is>
          <t>19:42:56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LWBV80</t>
        </is>
      </c>
      <c r="J117" s="4" t="n">
        <v>1</v>
      </c>
      <c r="K117" s="5" t="inlineStr">
        <is>
          <t>VINA DEL MAR</t>
        </is>
      </c>
      <c r="L117" s="4" t="n">
        <v>1766</v>
      </c>
    </row>
    <row r="118">
      <c r="A118" s="2">
        <f>"119266"</f>
        <v/>
      </c>
      <c r="B118" s="2" t="inlineStr">
        <is>
          <t>HKOOB37058751</t>
        </is>
      </c>
      <c r="C118" s="2" t="inlineStr">
        <is>
          <t>15/05/2026</t>
        </is>
      </c>
      <c r="D118" s="2" t="inlineStr">
        <is>
          <t>20:21:50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3" t="inlineStr">
        <is>
          <t>HVJX52</t>
        </is>
      </c>
      <c r="J118" s="2" t="n">
        <v>1</v>
      </c>
      <c r="K118" s="3" t="inlineStr">
        <is>
          <t>VINA DEL MAR</t>
        </is>
      </c>
      <c r="L118" s="2" t="n">
        <v>1669</v>
      </c>
    </row>
    <row r="119">
      <c r="A119" s="4">
        <f>"119267"</f>
        <v/>
      </c>
      <c r="B119" s="4" t="inlineStr">
        <is>
          <t>HKOOB37058560</t>
        </is>
      </c>
      <c r="C119" s="4" t="inlineStr">
        <is>
          <t>15/05/2026</t>
        </is>
      </c>
      <c r="D119" s="4" t="inlineStr">
        <is>
          <t>21:08:49</t>
        </is>
      </c>
      <c r="E119" s="4" t="inlineStr">
        <is>
          <t>mayo</t>
        </is>
      </c>
      <c r="F119" s="4" t="n">
        <v>2026</v>
      </c>
      <c r="G119" s="5" t="inlineStr">
        <is>
          <t>CHILLAN</t>
        </is>
      </c>
      <c r="H119" s="5" t="inlineStr">
        <is>
          <t>77636200-K/TRANSPORTES SAN GABRIEL LTDA.</t>
        </is>
      </c>
      <c r="I119" s="5" t="inlineStr">
        <is>
          <t>RHDX19</t>
        </is>
      </c>
      <c r="J119" s="4" t="n">
        <v>1</v>
      </c>
      <c r="K119" s="5" t="inlineStr">
        <is>
          <t>CHILLAN</t>
        </is>
      </c>
      <c r="L119" s="4" t="n">
        <v>1866</v>
      </c>
    </row>
    <row r="120">
      <c r="A120" s="2">
        <f>"119268"</f>
        <v/>
      </c>
      <c r="B120" s="2" t="inlineStr">
        <is>
          <t>HKOOB37058540</t>
        </is>
      </c>
      <c r="C120" s="2" t="inlineStr">
        <is>
          <t>15/05/2026</t>
        </is>
      </c>
      <c r="D120" s="2" t="inlineStr">
        <is>
          <t>21:39:54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77636200-K/TRANSPORTES SAN GABRIEL LTDA.</t>
        </is>
      </c>
      <c r="I120" s="3" t="inlineStr">
        <is>
          <t>PFBS12</t>
        </is>
      </c>
      <c r="J120" s="2" t="n">
        <v>1</v>
      </c>
      <c r="K120" s="3" t="inlineStr">
        <is>
          <t>CONCEPCION</t>
        </is>
      </c>
      <c r="L120" s="2" t="n">
        <v>2040</v>
      </c>
    </row>
    <row r="121">
      <c r="A121" s="4">
        <f>"119269"</f>
        <v/>
      </c>
      <c r="B121" s="4" t="inlineStr">
        <is>
          <t>HKOOB37058564</t>
        </is>
      </c>
      <c r="C121" s="4" t="inlineStr">
        <is>
          <t>15/05/2026</t>
        </is>
      </c>
      <c r="D121" s="4" t="inlineStr">
        <is>
          <t>22:24:01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5" t="inlineStr">
        <is>
          <t>RFZY95</t>
        </is>
      </c>
      <c r="J121" s="4" t="n">
        <v>1</v>
      </c>
      <c r="K121" s="5" t="inlineStr">
        <is>
          <t>TALCA</t>
        </is>
      </c>
      <c r="L121" s="4" t="n">
        <v>1684</v>
      </c>
    </row>
    <row r="122">
      <c r="A122" s="2">
        <f>"38527"</f>
        <v/>
      </c>
      <c r="B122" s="2" t="inlineStr">
        <is>
          <t>HKOOB37063767</t>
        </is>
      </c>
      <c r="C122" s="2" t="inlineStr">
        <is>
          <t>15/05/2026</t>
        </is>
      </c>
      <c r="D122" s="2" t="inlineStr">
        <is>
          <t>22:52:47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2" t="n">
        <v>1</v>
      </c>
      <c r="K122" s="3" t="inlineStr">
        <is>
          <t>LO ESPEJO</t>
        </is>
      </c>
      <c r="L122" s="2" t="n">
        <v>1342</v>
      </c>
    </row>
    <row r="123">
      <c r="A123" s="4">
        <f>"38528"</f>
        <v/>
      </c>
      <c r="B123" s="4" t="inlineStr">
        <is>
          <t>HKOOB37058742</t>
        </is>
      </c>
      <c r="C123" s="4" t="inlineStr">
        <is>
          <t>15/05/2026</t>
        </is>
      </c>
      <c r="D123" s="4" t="inlineStr">
        <is>
          <t>23:14:50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82623500-4/IDEAL S.A</t>
        </is>
      </c>
      <c r="I123" s="5" t="inlineStr">
        <is>
          <t>TVTD89</t>
        </is>
      </c>
      <c r="J123" s="4" t="n">
        <v>1</v>
      </c>
      <c r="K123" s="5" t="inlineStr">
        <is>
          <t>LO ESPEJO</t>
        </is>
      </c>
      <c r="L123" s="4" t="n">
        <v>1342</v>
      </c>
    </row>
    <row r="124">
      <c r="A124" s="2">
        <f>"119270"</f>
        <v/>
      </c>
      <c r="B124" s="2" t="inlineStr">
        <is>
          <t>HKOOB37058766</t>
        </is>
      </c>
      <c r="C124" s="2" t="inlineStr">
        <is>
          <t>15/05/2026</t>
        </is>
      </c>
      <c r="D124" s="2" t="inlineStr">
        <is>
          <t>23:27:42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77636200-K/TRANSPORTES SAN GABRIEL LTDA.</t>
        </is>
      </c>
      <c r="I124" s="3" t="inlineStr">
        <is>
          <t>PSLY21</t>
        </is>
      </c>
      <c r="J124" s="2" t="n">
        <v>1</v>
      </c>
      <c r="K124" s="3" t="inlineStr">
        <is>
          <t>ANTOFAGASTA</t>
        </is>
      </c>
      <c r="L124" s="2" t="n">
        <v>1784</v>
      </c>
    </row>
    <row r="125">
      <c r="A125" s="4">
        <f>"38535"</f>
        <v/>
      </c>
      <c r="B125" s="4" t="inlineStr">
        <is>
          <t>HKOOB37058743</t>
        </is>
      </c>
      <c r="C125" s="4" t="inlineStr">
        <is>
          <t>16/05/2026</t>
        </is>
      </c>
      <c r="D125" s="4" t="inlineStr">
        <is>
          <t>00:34:55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77636200-K/TRANSPORTES SAN GABRIEL LTDA.</t>
        </is>
      </c>
      <c r="I125" s="5" t="inlineStr">
        <is>
          <t>TVTD89</t>
        </is>
      </c>
      <c r="J125" s="4" t="n">
        <v>1</v>
      </c>
      <c r="K125" s="5" t="inlineStr">
        <is>
          <t>LO ESPEJO</t>
        </is>
      </c>
      <c r="L125" s="4" t="n">
        <v>1445</v>
      </c>
    </row>
    <row r="126">
      <c r="A126" s="2">
        <f>"38545"</f>
        <v/>
      </c>
      <c r="B126" s="2" t="inlineStr">
        <is>
          <t>HKOOB37058745</t>
        </is>
      </c>
      <c r="C126" s="2" t="inlineStr">
        <is>
          <t>16/05/2026</t>
        </is>
      </c>
      <c r="D126" s="2" t="inlineStr">
        <is>
          <t>01:50:59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82623500-4/IDEAL S.A</t>
        </is>
      </c>
      <c r="I126" s="3" t="inlineStr">
        <is>
          <t>TVTD89</t>
        </is>
      </c>
      <c r="J126" s="2" t="n">
        <v>1</v>
      </c>
      <c r="K126" s="3" t="inlineStr">
        <is>
          <t>LO ESPEJO</t>
        </is>
      </c>
      <c r="L126" s="2" t="n">
        <v>1462</v>
      </c>
    </row>
    <row r="127">
      <c r="A127" s="4">
        <f>"119271"</f>
        <v/>
      </c>
      <c r="B127" s="4" t="inlineStr">
        <is>
          <t>HKOOB37063833</t>
        </is>
      </c>
      <c r="C127" s="4" t="inlineStr">
        <is>
          <t>16/05/2026</t>
        </is>
      </c>
      <c r="D127" s="4" t="inlineStr">
        <is>
          <t>03:06:50</t>
        </is>
      </c>
      <c r="E127" s="4" t="inlineStr">
        <is>
          <t>mayo</t>
        </is>
      </c>
      <c r="F127" s="4" t="n">
        <v>2026</v>
      </c>
      <c r="G127" s="5" t="inlineStr">
        <is>
          <t>VINA DEL MAR</t>
        </is>
      </c>
      <c r="H127" s="5" t="inlineStr">
        <is>
          <t>82623500-4/IDEAL S.A</t>
        </is>
      </c>
      <c r="I127" s="5" t="inlineStr">
        <is>
          <t>TVTD89</t>
        </is>
      </c>
      <c r="J127" s="4" t="n">
        <v>1</v>
      </c>
      <c r="K127" s="5" t="inlineStr">
        <is>
          <t>VINA DEL MAR</t>
        </is>
      </c>
      <c r="L127" s="4" t="n">
        <v>1863</v>
      </c>
    </row>
    <row r="128">
      <c r="A128" s="2">
        <f>"38556"</f>
        <v/>
      </c>
      <c r="B128" s="2" t="inlineStr">
        <is>
          <t>HKOOB37058754</t>
        </is>
      </c>
      <c r="C128" s="2" t="inlineStr">
        <is>
          <t>16/05/2026</t>
        </is>
      </c>
      <c r="D128" s="2" t="inlineStr">
        <is>
          <t>03:50:32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82623500-4/IDEAL S.A</t>
        </is>
      </c>
      <c r="I128" s="3" t="inlineStr">
        <is>
          <t>TVTD89</t>
        </is>
      </c>
      <c r="J128" s="2" t="n">
        <v>1</v>
      </c>
      <c r="K128" s="3" t="inlineStr">
        <is>
          <t>EL PINAR</t>
        </is>
      </c>
      <c r="L128" s="2" t="n">
        <v>1096</v>
      </c>
    </row>
    <row r="129">
      <c r="A129" s="4">
        <f>"119272"</f>
        <v/>
      </c>
      <c r="B129" s="4" t="inlineStr">
        <is>
          <t>HKOOB37063232</t>
        </is>
      </c>
      <c r="C129" s="4" t="inlineStr">
        <is>
          <t>16/05/2026</t>
        </is>
      </c>
      <c r="D129" s="4" t="inlineStr">
        <is>
          <t>04:28:14</t>
        </is>
      </c>
      <c r="E129" s="4" t="inlineStr">
        <is>
          <t>mayo</t>
        </is>
      </c>
      <c r="F129" s="4" t="n">
        <v>2026</v>
      </c>
      <c r="G129" s="5" t="inlineStr">
        <is>
          <t>RANCAGUA</t>
        </is>
      </c>
      <c r="H129" s="5" t="inlineStr">
        <is>
          <t>76252773-1/GARATE Y GARATE LIMITADA</t>
        </is>
      </c>
      <c r="I129" s="5" t="inlineStr">
        <is>
          <t>FHDT82</t>
        </is>
      </c>
      <c r="J129" s="4" t="n">
        <v>1</v>
      </c>
      <c r="K129" s="5" t="inlineStr">
        <is>
          <t>RANCAGUA</t>
        </is>
      </c>
      <c r="L129" s="4" t="n">
        <v>1721</v>
      </c>
    </row>
    <row r="130">
      <c r="A130" s="2">
        <f>"119273"</f>
        <v/>
      </c>
      <c r="B130" s="2" t="inlineStr">
        <is>
          <t>HKOOB37063245</t>
        </is>
      </c>
      <c r="C130" s="2" t="inlineStr">
        <is>
          <t>16/05/2026</t>
        </is>
      </c>
      <c r="D130" s="2" t="inlineStr">
        <is>
          <t>05:04:58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3" t="inlineStr">
        <is>
          <t>ZL7937</t>
        </is>
      </c>
      <c r="J130" s="2" t="n">
        <v>1</v>
      </c>
      <c r="K130" s="3" t="inlineStr">
        <is>
          <t>MELIPILLA</t>
        </is>
      </c>
      <c r="L130" s="2" t="n">
        <v>1700</v>
      </c>
    </row>
    <row r="131">
      <c r="A131" s="4">
        <f>"119274"</f>
        <v/>
      </c>
      <c r="B131" s="4" t="inlineStr">
        <is>
          <t>HKOOB37063242</t>
        </is>
      </c>
      <c r="C131" s="4" t="inlineStr">
        <is>
          <t>16/05/2026</t>
        </is>
      </c>
      <c r="D131" s="4" t="inlineStr">
        <is>
          <t>05:54:55</t>
        </is>
      </c>
      <c r="E131" s="4" t="inlineStr">
        <is>
          <t>mayo</t>
        </is>
      </c>
      <c r="F131" s="4" t="n">
        <v>2026</v>
      </c>
      <c r="G131" s="5" t="inlineStr">
        <is>
          <t>CONCEPCION</t>
        </is>
      </c>
      <c r="H131" s="5" t="inlineStr">
        <is>
          <t>77636200-K/TRANSPORTES SAN GABRIEL LTDA.</t>
        </is>
      </c>
      <c r="I131" s="5" t="inlineStr">
        <is>
          <t>PJKT50</t>
        </is>
      </c>
      <c r="J131" s="4" t="n">
        <v>1</v>
      </c>
      <c r="K131" s="5" t="inlineStr">
        <is>
          <t>CONCEPCION</t>
        </is>
      </c>
      <c r="L131" s="4" t="n">
        <v>1522</v>
      </c>
    </row>
    <row r="132">
      <c r="A132" s="2">
        <f>"119275"</f>
        <v/>
      </c>
      <c r="B132" s="2" t="inlineStr">
        <is>
          <t>HKOOB37063236</t>
        </is>
      </c>
      <c r="C132" s="2" t="inlineStr">
        <is>
          <t>16/05/2026</t>
        </is>
      </c>
      <c r="D132" s="2" t="inlineStr">
        <is>
          <t>06:29:19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3" t="inlineStr">
        <is>
          <t>PFBS15</t>
        </is>
      </c>
      <c r="J132" s="2" t="n">
        <v>1</v>
      </c>
      <c r="K132" s="3" t="inlineStr">
        <is>
          <t>PTO MONTT</t>
        </is>
      </c>
      <c r="L132" s="2" t="n">
        <v>1939</v>
      </c>
    </row>
    <row r="133">
      <c r="A133" s="4">
        <f>"119276"</f>
        <v/>
      </c>
      <c r="B133" s="4" t="inlineStr">
        <is>
          <t>HKOOB37063225</t>
        </is>
      </c>
      <c r="C133" s="4" t="inlineStr">
        <is>
          <t>16/05/2026</t>
        </is>
      </c>
      <c r="D133" s="4" t="inlineStr">
        <is>
          <t>08:10:52</t>
        </is>
      </c>
      <c r="E133" s="4" t="inlineStr">
        <is>
          <t>mayo</t>
        </is>
      </c>
      <c r="F133" s="4" t="n">
        <v>2026</v>
      </c>
      <c r="G133" s="5" t="inlineStr">
        <is>
          <t>LA SERENA</t>
        </is>
      </c>
      <c r="H133" s="5" t="inlineStr">
        <is>
          <t>77636200-K/TRANSPORTES SAN GABRIEL LTDA.</t>
        </is>
      </c>
      <c r="I133" s="5" t="inlineStr">
        <is>
          <t>RFZY99</t>
        </is>
      </c>
      <c r="J133" s="4" t="n">
        <v>1</v>
      </c>
      <c r="K133" s="5" t="inlineStr">
        <is>
          <t>LA SERENA</t>
        </is>
      </c>
      <c r="L133" s="4" t="n">
        <v>1494</v>
      </c>
    </row>
    <row r="134">
      <c r="A134" s="2">
        <f>"119277"</f>
        <v/>
      </c>
      <c r="B134" s="2" t="inlineStr">
        <is>
          <t>HKOOB37063248</t>
        </is>
      </c>
      <c r="C134" s="2" t="inlineStr">
        <is>
          <t>16/05/2026</t>
        </is>
      </c>
      <c r="D134" s="2" t="inlineStr">
        <is>
          <t>09:02:26</t>
        </is>
      </c>
      <c r="E134" s="2" t="inlineStr">
        <is>
          <t>mayo</t>
        </is>
      </c>
      <c r="F134" s="2" t="n">
        <v>2026</v>
      </c>
      <c r="G134" s="3" t="inlineStr">
        <is>
          <t>TEMUCO</t>
        </is>
      </c>
      <c r="H134" s="3" t="inlineStr">
        <is>
          <t>77636200-K/TRANSPORTES SAN GABRIEL LTDA.</t>
        </is>
      </c>
      <c r="I134" s="3" t="inlineStr">
        <is>
          <t>PGKD18</t>
        </is>
      </c>
      <c r="J134" s="2" t="n">
        <v>1</v>
      </c>
      <c r="K134" s="3" t="inlineStr">
        <is>
          <t>TEMUCO</t>
        </is>
      </c>
      <c r="L134" s="2" t="n">
        <v>1788</v>
      </c>
    </row>
    <row r="135">
      <c r="A135" s="4">
        <f>"119278"</f>
        <v/>
      </c>
      <c r="B135" s="4" t="inlineStr">
        <is>
          <t>HKOOB37063832</t>
        </is>
      </c>
      <c r="C135" s="4" t="inlineStr">
        <is>
          <t>16/05/2026</t>
        </is>
      </c>
      <c r="D135" s="4" t="inlineStr">
        <is>
          <t>09:20:00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5" t="inlineStr">
        <is>
          <t>LWBV80</t>
        </is>
      </c>
      <c r="J135" s="4" t="n">
        <v>1</v>
      </c>
      <c r="K135" s="5" t="inlineStr">
        <is>
          <t>VINA DEL MAR</t>
        </is>
      </c>
      <c r="L135" s="4" t="n">
        <v>1591</v>
      </c>
    </row>
    <row r="136">
      <c r="A136" s="2">
        <f>"38609"</f>
        <v/>
      </c>
      <c r="B136" s="2" t="inlineStr">
        <is>
          <t>HKOOB37063763</t>
        </is>
      </c>
      <c r="C136" s="2" t="inlineStr">
        <is>
          <t>16/05/2026</t>
        </is>
      </c>
      <c r="D136" s="2" t="inlineStr">
        <is>
          <t>09:48:12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2" t="n">
        <v>1</v>
      </c>
      <c r="K136" s="3" t="inlineStr">
        <is>
          <t>LO ESPEJO</t>
        </is>
      </c>
      <c r="L136" s="2" t="n">
        <v>1526</v>
      </c>
    </row>
    <row r="137">
      <c r="A137" s="4">
        <f>"38613"</f>
        <v/>
      </c>
      <c r="B137" s="4" t="inlineStr">
        <is>
          <t>HKOOB37036931</t>
        </is>
      </c>
      <c r="C137" s="4" t="inlineStr">
        <is>
          <t>16/05/2026</t>
        </is>
      </c>
      <c r="D137" s="4" t="inlineStr">
        <is>
          <t>10:34:02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82623500-4/IDEAL S.A</t>
        </is>
      </c>
      <c r="I137" s="5" t="inlineStr">
        <is>
          <t>TVTD89</t>
        </is>
      </c>
      <c r="J137" s="4" t="n">
        <v>1</v>
      </c>
      <c r="K137" s="5" t="inlineStr">
        <is>
          <t>LO ESPEJO</t>
        </is>
      </c>
      <c r="L137" s="4" t="n">
        <v>14</v>
      </c>
    </row>
    <row r="138">
      <c r="A138" s="2">
        <f>"119279"</f>
        <v/>
      </c>
      <c r="B138" s="2" t="inlineStr">
        <is>
          <t>HKOOB37063909</t>
        </is>
      </c>
      <c r="C138" s="2" t="inlineStr">
        <is>
          <t>16/05/2026</t>
        </is>
      </c>
      <c r="D138" s="2" t="inlineStr">
        <is>
          <t>11:17:05</t>
        </is>
      </c>
      <c r="E138" s="2" t="inlineStr">
        <is>
          <t>mayo</t>
        </is>
      </c>
      <c r="F138" s="2" t="n">
        <v>2026</v>
      </c>
      <c r="G138" s="3" t="inlineStr">
        <is>
          <t>IQUIQUE</t>
        </is>
      </c>
      <c r="H138" s="3" t="inlineStr">
        <is>
          <t>77636200-K/TRANSPORTES SAN GABRIEL LTDA.</t>
        </is>
      </c>
      <c r="I138" s="3" t="inlineStr">
        <is>
          <t>RHDX18</t>
        </is>
      </c>
      <c r="J138" s="2" t="n">
        <v>1</v>
      </c>
      <c r="K138" s="3" t="inlineStr">
        <is>
          <t>IQUIQUE</t>
        </is>
      </c>
      <c r="L138" s="2" t="n">
        <v>1732</v>
      </c>
    </row>
    <row r="139">
      <c r="A139" s="4">
        <f>"119280"</f>
        <v/>
      </c>
      <c r="B139" s="4" t="inlineStr">
        <is>
          <t>HKOOB37063912</t>
        </is>
      </c>
      <c r="C139" s="4" t="inlineStr">
        <is>
          <t>16/05/2026</t>
        </is>
      </c>
      <c r="D139" s="4" t="inlineStr">
        <is>
          <t>11:39:55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5" t="inlineStr">
        <is>
          <t>VJWK65</t>
        </is>
      </c>
      <c r="J139" s="4" t="n">
        <v>1</v>
      </c>
      <c r="K139" s="5" t="inlineStr">
        <is>
          <t>ANTOFAGASTA</t>
        </is>
      </c>
      <c r="L139" s="4" t="n">
        <v>2082</v>
      </c>
    </row>
    <row r="140">
      <c r="A140" s="2">
        <f>"119281"</f>
        <v/>
      </c>
      <c r="B140" s="2" t="inlineStr">
        <is>
          <t>HKOOB37063240</t>
        </is>
      </c>
      <c r="C140" s="2" t="inlineStr">
        <is>
          <t>16/05/2026</t>
        </is>
      </c>
      <c r="D140" s="2" t="inlineStr">
        <is>
          <t>11:55:17</t>
        </is>
      </c>
      <c r="E140" s="2" t="inlineStr">
        <is>
          <t>mayo</t>
        </is>
      </c>
      <c r="F140" s="2" t="n">
        <v>2026</v>
      </c>
      <c r="G140" s="3" t="inlineStr">
        <is>
          <t>TALCA</t>
        </is>
      </c>
      <c r="H140" s="3" t="inlineStr">
        <is>
          <t>77636200-K/TRANSPORTES SAN GABRIEL LTDA.</t>
        </is>
      </c>
      <c r="I140" s="3" t="inlineStr">
        <is>
          <t>SVLV52</t>
        </is>
      </c>
      <c r="J140" s="2" t="n">
        <v>1</v>
      </c>
      <c r="K140" s="3" t="inlineStr">
        <is>
          <t>TALCA</t>
        </is>
      </c>
      <c r="L140" s="2" t="n">
        <v>1527</v>
      </c>
    </row>
    <row r="141">
      <c r="A141" s="4">
        <f>"119282"</f>
        <v/>
      </c>
      <c r="B141" s="4" t="inlineStr">
        <is>
          <t>HKOOB37063831</t>
        </is>
      </c>
      <c r="C141" s="4" t="inlineStr">
        <is>
          <t>16/05/2026</t>
        </is>
      </c>
      <c r="D141" s="4" t="inlineStr">
        <is>
          <t>12:22:54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5" t="inlineStr">
        <is>
          <t>HVJX52</t>
        </is>
      </c>
      <c r="J141" s="4" t="n">
        <v>1</v>
      </c>
      <c r="K141" s="5" t="inlineStr">
        <is>
          <t>VINA DEL MAR</t>
        </is>
      </c>
      <c r="L141" s="4" t="n">
        <v>1574</v>
      </c>
    </row>
    <row r="142">
      <c r="A142" s="2">
        <f>"119283"</f>
        <v/>
      </c>
      <c r="B142" s="2" t="inlineStr">
        <is>
          <t>CHKO373697 / CHKO373925</t>
        </is>
      </c>
      <c r="C142" s="2" t="inlineStr">
        <is>
          <t>16/05/2026</t>
        </is>
      </c>
      <c r="D142" s="2" t="inlineStr">
        <is>
          <t>12:42:58</t>
        </is>
      </c>
      <c r="E142" s="2" t="inlineStr">
        <is>
          <t>mayo</t>
        </is>
      </c>
      <c r="F142" s="2" t="n">
        <v>2026</v>
      </c>
      <c r="G142" s="3" t="inlineStr">
        <is>
          <t>LOS ANGELES / TEMUCO</t>
        </is>
      </c>
      <c r="H142" s="3" t="inlineStr">
        <is>
          <t>77636200-K/TRANSPORTES SAN GABRIEL LTDA.</t>
        </is>
      </c>
      <c r="I142" s="3" t="inlineStr">
        <is>
          <t>PFBS16</t>
        </is>
      </c>
      <c r="J142" s="2" t="n">
        <v>1</v>
      </c>
      <c r="K142" s="3" t="inlineStr">
        <is>
          <t>LOS ANGELES / TEMUCO</t>
        </is>
      </c>
      <c r="L142" s="2" t="n">
        <v>1600</v>
      </c>
    </row>
    <row r="143">
      <c r="A143" s="4" t="inlineStr">
        <is>
          <t>LAS</t>
        </is>
      </c>
      <c r="B143" s="4" t="inlineStr">
        <is>
          <t>HKOOB37058740 / HKOOB37058741 / HKOOB37063774</t>
        </is>
      </c>
      <c r="C143" s="4" t="inlineStr">
        <is>
          <t>16/05/2026</t>
        </is>
      </c>
      <c r="D143" s="4" t="inlineStr">
        <is>
          <t>14:17:20</t>
        </is>
      </c>
      <c r="E143" s="4" t="inlineStr">
        <is>
          <t>mayo</t>
        </is>
      </c>
      <c r="F143" s="4" t="n">
        <v>2026</v>
      </c>
      <c r="G143" s="5" t="inlineStr">
        <is>
          <t>EL PINAR / LO ESPEJO</t>
        </is>
      </c>
      <c r="H143" s="5" t="inlineStr">
        <is>
          <t>82623500-4/IDEAL S.A</t>
        </is>
      </c>
      <c r="I143" s="5" t="inlineStr">
        <is>
          <t>STJR25</t>
        </is>
      </c>
      <c r="J143" s="4" t="n">
        <v>1</v>
      </c>
      <c r="K143" s="5" t="inlineStr">
        <is>
          <t>EL PINAR / LO ESPEJO</t>
        </is>
      </c>
      <c r="L143" s="4" t="n">
        <v>3493</v>
      </c>
    </row>
    <row r="144">
      <c r="A144" s="2">
        <f>"38663"</f>
        <v/>
      </c>
      <c r="B144" s="2" t="inlineStr">
        <is>
          <t>HKOOB37063764</t>
        </is>
      </c>
      <c r="C144" s="2" t="inlineStr">
        <is>
          <t>16/05/2026</t>
        </is>
      </c>
      <c r="D144" s="2" t="inlineStr">
        <is>
          <t>14:45:09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82623500-4/IDEAL S.A</t>
        </is>
      </c>
      <c r="I144" s="3" t="inlineStr">
        <is>
          <t>RZVS88</t>
        </is>
      </c>
      <c r="J144" s="2" t="n">
        <v>1</v>
      </c>
      <c r="K144" s="3" t="inlineStr">
        <is>
          <t>LO ESPEJO</t>
        </is>
      </c>
      <c r="L144" s="2" t="n">
        <v>1084</v>
      </c>
    </row>
    <row r="145">
      <c r="A145" s="4">
        <f>"119284"</f>
        <v/>
      </c>
      <c r="B145" s="4" t="inlineStr">
        <is>
          <t>HKOOB37064381</t>
        </is>
      </c>
      <c r="C145" s="4" t="inlineStr">
        <is>
          <t>16/05/2026</t>
        </is>
      </c>
      <c r="D145" s="4" t="inlineStr">
        <is>
          <t>15:41:36</t>
        </is>
      </c>
      <c r="E145" s="4" t="inlineStr">
        <is>
          <t>mayo</t>
        </is>
      </c>
      <c r="F145" s="4" t="n">
        <v>2026</v>
      </c>
      <c r="G145" s="5" t="inlineStr">
        <is>
          <t>SAN FERNANDO</t>
        </is>
      </c>
      <c r="H145" s="5" t="inlineStr">
        <is>
          <t>76252773-1/GARATE Y GARATE LIMITADA</t>
        </is>
      </c>
      <c r="I145" s="5" t="inlineStr">
        <is>
          <t>FHDT82</t>
        </is>
      </c>
      <c r="J145" s="4" t="n">
        <v>1</v>
      </c>
      <c r="K145" s="5" t="inlineStr">
        <is>
          <t>SAN FERNANDO</t>
        </is>
      </c>
      <c r="L145" s="4" t="n">
        <v>1199</v>
      </c>
    </row>
    <row r="146">
      <c r="A146" s="2">
        <f>"38644"</f>
        <v/>
      </c>
      <c r="B146" s="2" t="inlineStr">
        <is>
          <t>HKOOB37063765</t>
        </is>
      </c>
      <c r="C146" s="2" t="inlineStr">
        <is>
          <t>16/05/2026</t>
        </is>
      </c>
      <c r="D146" s="2" t="inlineStr">
        <is>
          <t>16:11:15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82623500-4/IDEAL S.A</t>
        </is>
      </c>
      <c r="I146" s="3" t="inlineStr">
        <is>
          <t>STJR25</t>
        </is>
      </c>
      <c r="J146" s="2" t="n">
        <v>1</v>
      </c>
      <c r="K146" s="3" t="inlineStr">
        <is>
          <t>LO ESPEJO</t>
        </is>
      </c>
      <c r="L146" s="2" t="n">
        <v>1162</v>
      </c>
    </row>
    <row r="147">
      <c r="A147" s="4">
        <f>"119285"</f>
        <v/>
      </c>
      <c r="B147" s="4" t="inlineStr">
        <is>
          <t>HKOOB37066303</t>
        </is>
      </c>
      <c r="C147" s="4" t="inlineStr">
        <is>
          <t>16/05/2026</t>
        </is>
      </c>
      <c r="D147" s="4" t="inlineStr">
        <is>
          <t>17:06:40</t>
        </is>
      </c>
      <c r="E147" s="4" t="inlineStr">
        <is>
          <t>mayo</t>
        </is>
      </c>
      <c r="F147" s="4" t="n">
        <v>2026</v>
      </c>
      <c r="G147" s="5" t="inlineStr">
        <is>
          <t>LOS ANDES</t>
        </is>
      </c>
      <c r="H147" s="5" t="inlineStr">
        <is>
          <t>77970090-9/TRANSPORTES DONA ISIDORA (LABBE)</t>
        </is>
      </c>
      <c r="I147" s="5" t="inlineStr">
        <is>
          <t>BWPL16</t>
        </is>
      </c>
      <c r="J147" s="4" t="n">
        <v>1</v>
      </c>
      <c r="K147" s="5" t="inlineStr">
        <is>
          <t>LOS ANDES</t>
        </is>
      </c>
      <c r="L147" s="4" t="n">
        <v>1187</v>
      </c>
    </row>
    <row r="148">
      <c r="A148" s="2">
        <f>"38555"</f>
        <v/>
      </c>
      <c r="B148" s="2" t="inlineStr">
        <is>
          <t>HKOOB37063768</t>
        </is>
      </c>
      <c r="C148" s="2" t="inlineStr">
        <is>
          <t>16/05/2026</t>
        </is>
      </c>
      <c r="D148" s="2" t="inlineStr">
        <is>
          <t>18:22:41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82623500-4/IDEAL S.A</t>
        </is>
      </c>
      <c r="I148" s="3" t="inlineStr">
        <is>
          <t>STJR25</t>
        </is>
      </c>
      <c r="J148" s="2" t="n">
        <v>1</v>
      </c>
      <c r="K148" s="3" t="inlineStr">
        <is>
          <t>LO ESPEJO</t>
        </is>
      </c>
      <c r="L148" s="2" t="n">
        <v>1388</v>
      </c>
    </row>
    <row r="149">
      <c r="A149" s="4">
        <f>"119286"</f>
        <v/>
      </c>
      <c r="B149" s="4" t="inlineStr">
        <is>
          <t>HKOOB37063239 / HKOOB37066332</t>
        </is>
      </c>
      <c r="C149" s="4" t="inlineStr">
        <is>
          <t>16/05/2026</t>
        </is>
      </c>
      <c r="D149" s="4" t="inlineStr">
        <is>
          <t>18:35:09</t>
        </is>
      </c>
      <c r="E149" s="4" t="inlineStr">
        <is>
          <t>mayo</t>
        </is>
      </c>
      <c r="F149" s="4" t="n">
        <v>2026</v>
      </c>
      <c r="G149" s="5" t="inlineStr">
        <is>
          <t>TALCA</t>
        </is>
      </c>
      <c r="H149" s="5" t="inlineStr">
        <is>
          <t>77636200-K/TRANSPORTES SAN GABRIEL LTDA.</t>
        </is>
      </c>
      <c r="I149" s="5" t="inlineStr">
        <is>
          <t>PCLZ36</t>
        </is>
      </c>
      <c r="J149" s="4" t="n">
        <v>1</v>
      </c>
      <c r="K149" s="5" t="inlineStr">
        <is>
          <t>TALCA</t>
        </is>
      </c>
      <c r="L149" s="4" t="n">
        <v>1544</v>
      </c>
    </row>
    <row r="150">
      <c r="A150" s="2">
        <f>"119287"</f>
        <v/>
      </c>
      <c r="B150" s="2" t="inlineStr">
        <is>
          <t>HKOOB37063243</t>
        </is>
      </c>
      <c r="C150" s="2" t="inlineStr">
        <is>
          <t>16/05/2026</t>
        </is>
      </c>
      <c r="D150" s="2" t="inlineStr">
        <is>
          <t>19:18:19</t>
        </is>
      </c>
      <c r="E150" s="2" t="inlineStr">
        <is>
          <t>mayo</t>
        </is>
      </c>
      <c r="F150" s="2" t="n">
        <v>2026</v>
      </c>
      <c r="G150" s="3" t="inlineStr">
        <is>
          <t>CONCEPCION</t>
        </is>
      </c>
      <c r="H150" s="3" t="inlineStr">
        <is>
          <t>76746317-0/TRAILER LOGISTICS SPA</t>
        </is>
      </c>
      <c r="I150" s="3" t="inlineStr">
        <is>
          <t>VJWL64</t>
        </is>
      </c>
      <c r="J150" s="2" t="n">
        <v>1</v>
      </c>
      <c r="K150" s="3" t="inlineStr">
        <is>
          <t>CONCEPCION</t>
        </is>
      </c>
      <c r="L150" s="2" t="n">
        <v>2079</v>
      </c>
    </row>
    <row r="151">
      <c r="A151" s="4">
        <f>"119288"</f>
        <v/>
      </c>
      <c r="B151" s="4" t="inlineStr">
        <is>
          <t>CHKO373986 / HKOOB37063246</t>
        </is>
      </c>
      <c r="C151" s="4" t="inlineStr">
        <is>
          <t>16/05/2026</t>
        </is>
      </c>
      <c r="D151" s="4" t="inlineStr">
        <is>
          <t>20:30:56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5" t="inlineStr">
        <is>
          <t>PJKT54</t>
        </is>
      </c>
      <c r="J151" s="4" t="n">
        <v>1</v>
      </c>
      <c r="K151" s="5" t="inlineStr">
        <is>
          <t>LOS ANGELES</t>
        </is>
      </c>
      <c r="L151" s="4" t="n">
        <v>1682</v>
      </c>
    </row>
    <row r="152">
      <c r="A152" s="2">
        <f>"119289"</f>
        <v/>
      </c>
      <c r="B152" s="2" t="inlineStr">
        <is>
          <t>HKOOB37063250</t>
        </is>
      </c>
      <c r="C152" s="2" t="inlineStr">
        <is>
          <t>16/05/2026</t>
        </is>
      </c>
      <c r="D152" s="2" t="inlineStr">
        <is>
          <t>21:41:05</t>
        </is>
      </c>
      <c r="E152" s="2" t="inlineStr">
        <is>
          <t>mayo</t>
        </is>
      </c>
      <c r="F152" s="2" t="n">
        <v>2026</v>
      </c>
      <c r="G152" s="3" t="inlineStr">
        <is>
          <t>CHILLAN</t>
        </is>
      </c>
      <c r="H152" s="3" t="inlineStr">
        <is>
          <t>77636200-K/TRANSPORTES SAN GABRIEL LTDA.</t>
        </is>
      </c>
      <c r="I152" s="3" t="inlineStr">
        <is>
          <t>LCTB55</t>
        </is>
      </c>
      <c r="J152" s="2" t="n">
        <v>1</v>
      </c>
      <c r="K152" s="3" t="inlineStr">
        <is>
          <t>CHILLAN</t>
        </is>
      </c>
      <c r="L152" s="2" t="n">
        <v>1910</v>
      </c>
    </row>
    <row r="153">
      <c r="A153" s="4">
        <f>"38669"</f>
        <v/>
      </c>
      <c r="B153" s="4" t="inlineStr">
        <is>
          <t>HKOOB37063769</t>
        </is>
      </c>
      <c r="C153" s="4" t="inlineStr">
        <is>
          <t>16/05/2026</t>
        </is>
      </c>
      <c r="D153" s="4" t="inlineStr">
        <is>
          <t>22:58:46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82623500-4/IDEAL S.A</t>
        </is>
      </c>
      <c r="I153" s="5" t="inlineStr">
        <is>
          <t>STJR25</t>
        </is>
      </c>
      <c r="J153" s="4" t="n">
        <v>1</v>
      </c>
      <c r="K153" s="5" t="inlineStr">
        <is>
          <t>LO ESPEJO</t>
        </is>
      </c>
      <c r="L153" s="4" t="n">
        <v>1527</v>
      </c>
    </row>
    <row r="154">
      <c r="A154" s="2">
        <f>"119291"</f>
        <v/>
      </c>
      <c r="B154" s="2" t="inlineStr">
        <is>
          <t>HKOOB37063229</t>
        </is>
      </c>
      <c r="C154" s="2" t="inlineStr">
        <is>
          <t>17/05/2026</t>
        </is>
      </c>
      <c r="D154" s="2" t="inlineStr">
        <is>
          <t>00:05:40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77636200-K/TRANSPORTES SAN GABRIEL LTDA.</t>
        </is>
      </c>
      <c r="I154" s="3" t="inlineStr">
        <is>
          <t>LXHJ99</t>
        </is>
      </c>
      <c r="J154" s="2" t="n">
        <v>1</v>
      </c>
      <c r="K154" s="3" t="inlineStr">
        <is>
          <t>LA SERENA</t>
        </is>
      </c>
      <c r="L154" s="2" t="n">
        <v>1724</v>
      </c>
    </row>
    <row r="155">
      <c r="A155" s="4">
        <f>"38672"</f>
        <v/>
      </c>
      <c r="B155" s="4" t="inlineStr">
        <is>
          <t>HKOOB37063775</t>
        </is>
      </c>
      <c r="C155" s="4" t="inlineStr">
        <is>
          <t>17/05/2026</t>
        </is>
      </c>
      <c r="D155" s="4" t="inlineStr">
        <is>
          <t>00:24:33</t>
        </is>
      </c>
      <c r="E155" s="4" t="inlineStr">
        <is>
          <t>mayo</t>
        </is>
      </c>
      <c r="F155" s="4" t="n">
        <v>2026</v>
      </c>
      <c r="G155" s="5" t="inlineStr">
        <is>
          <t>EL PINAR</t>
        </is>
      </c>
      <c r="H155" s="5" t="inlineStr">
        <is>
          <t>77636200-K/TRANSPORTES SAN GABRIEL LTDA.</t>
        </is>
      </c>
      <c r="I155" s="5" t="inlineStr">
        <is>
          <t>STJR25</t>
        </is>
      </c>
      <c r="J155" s="4" t="n">
        <v>1</v>
      </c>
      <c r="K155" s="5" t="inlineStr">
        <is>
          <t>EL PINAR</t>
        </is>
      </c>
      <c r="L155" s="4" t="n">
        <v>1059</v>
      </c>
    </row>
    <row r="156">
      <c r="A156" s="2">
        <f>"119292"</f>
        <v/>
      </c>
      <c r="B156" s="2" t="inlineStr">
        <is>
          <t>HKOOB37063830</t>
        </is>
      </c>
      <c r="C156" s="2" t="inlineStr">
        <is>
          <t>17/05/2026</t>
        </is>
      </c>
      <c r="D156" s="2" t="inlineStr">
        <is>
          <t>00:49:36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82623500-4/IDEAL S.A</t>
        </is>
      </c>
      <c r="I156" s="3" t="inlineStr">
        <is>
          <t>STJR25</t>
        </is>
      </c>
      <c r="J156" s="2" t="n">
        <v>1</v>
      </c>
      <c r="K156" s="3" t="inlineStr">
        <is>
          <t>VINA DEL MAR</t>
        </is>
      </c>
      <c r="L156" s="2" t="n">
        <v>1470</v>
      </c>
    </row>
    <row r="157">
      <c r="A157" s="4">
        <f>"38674"</f>
        <v/>
      </c>
      <c r="B157" s="4" t="inlineStr">
        <is>
          <t>HKOOB37063770</t>
        </is>
      </c>
      <c r="C157" s="4" t="inlineStr">
        <is>
          <t>17/05/2026</t>
        </is>
      </c>
      <c r="D157" s="4" t="inlineStr">
        <is>
          <t>01:04:26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4" t="n">
        <v>1</v>
      </c>
      <c r="K157" s="5" t="inlineStr">
        <is>
          <t>LO ESPEJO</t>
        </is>
      </c>
      <c r="L157" s="4" t="n">
        <v>1168</v>
      </c>
    </row>
    <row r="158">
      <c r="A158" s="2">
        <f>"38678"</f>
        <v/>
      </c>
      <c r="B158" s="2" t="inlineStr">
        <is>
          <t>HKOOB37063771</t>
        </is>
      </c>
      <c r="C158" s="2" t="inlineStr">
        <is>
          <t>17/05/2026</t>
        </is>
      </c>
      <c r="D158" s="2" t="inlineStr">
        <is>
          <t>01:41:14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82623500-4/IDEAL S.A</t>
        </is>
      </c>
      <c r="I158" s="3" t="inlineStr">
        <is>
          <t>TVTD89</t>
        </is>
      </c>
      <c r="J158" s="2" t="n">
        <v>1</v>
      </c>
      <c r="K158" s="3" t="inlineStr">
        <is>
          <t>LO ESPEJO</t>
        </is>
      </c>
      <c r="L158" s="2" t="n">
        <v>1364</v>
      </c>
    </row>
    <row r="159">
      <c r="A159" s="4">
        <f>"119293"</f>
        <v/>
      </c>
      <c r="B159" s="4" t="inlineStr">
        <is>
          <t>HKOOB37066347</t>
        </is>
      </c>
      <c r="C159" s="4" t="inlineStr">
        <is>
          <t>17/05/2026</t>
        </is>
      </c>
      <c r="D159" s="4" t="inlineStr">
        <is>
          <t>01:59:21</t>
        </is>
      </c>
      <c r="E159" s="4" t="inlineStr">
        <is>
          <t>mayo</t>
        </is>
      </c>
      <c r="F159" s="4" t="n">
        <v>2026</v>
      </c>
      <c r="G159" s="5" t="inlineStr">
        <is>
          <t>RANCAGUA</t>
        </is>
      </c>
      <c r="H159" s="5" t="inlineStr">
        <is>
          <t>77636200-K/TRANSPORTES SAN GABRIEL LTDA.</t>
        </is>
      </c>
      <c r="I159" s="5" t="inlineStr">
        <is>
          <t>DRPH69</t>
        </is>
      </c>
      <c r="J159" s="4" t="n">
        <v>1</v>
      </c>
      <c r="K159" s="5" t="inlineStr">
        <is>
          <t>RANCAGUA</t>
        </is>
      </c>
      <c r="L159" s="4" t="n">
        <v>1656</v>
      </c>
    </row>
    <row r="160">
      <c r="A160" s="2">
        <f>"38681"</f>
        <v/>
      </c>
      <c r="B160" s="2" t="inlineStr">
        <is>
          <t>HKOOB37063772</t>
        </is>
      </c>
      <c r="C160" s="2" t="inlineStr">
        <is>
          <t>17/05/2026</t>
        </is>
      </c>
      <c r="D160" s="2" t="inlineStr">
        <is>
          <t>02:48:13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82623500-4/IDEAL S.A</t>
        </is>
      </c>
      <c r="I160" s="3" t="inlineStr">
        <is>
          <t>TVTD89</t>
        </is>
      </c>
      <c r="J160" s="2" t="n">
        <v>1</v>
      </c>
      <c r="K160" s="3" t="inlineStr">
        <is>
          <t>LO ESPEJO</t>
        </is>
      </c>
      <c r="L160" s="2" t="n">
        <v>1321</v>
      </c>
    </row>
    <row r="161">
      <c r="A161" s="4">
        <f>"119294"</f>
        <v/>
      </c>
      <c r="B161" s="4" t="inlineStr">
        <is>
          <t>HKOOB37066301</t>
        </is>
      </c>
      <c r="C161" s="4" t="inlineStr">
        <is>
          <t>17/05/2026</t>
        </is>
      </c>
      <c r="D161" s="4" t="inlineStr">
        <is>
          <t>03:34:51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5" t="inlineStr">
        <is>
          <t>BWPL15</t>
        </is>
      </c>
      <c r="J161" s="4" t="n">
        <v>1</v>
      </c>
      <c r="K161" s="5" t="inlineStr">
        <is>
          <t>MELIPILLA</t>
        </is>
      </c>
      <c r="L161" s="4" t="n">
        <v>1570</v>
      </c>
    </row>
    <row r="162">
      <c r="A162" s="2">
        <f>"119295"</f>
        <v/>
      </c>
      <c r="B162" s="2" t="inlineStr">
        <is>
          <t>HKOOB37066346</t>
        </is>
      </c>
      <c r="C162" s="2" t="inlineStr">
        <is>
          <t>17/05/2026</t>
        </is>
      </c>
      <c r="D162" s="2" t="inlineStr">
        <is>
          <t>03:47:10</t>
        </is>
      </c>
      <c r="E162" s="2" t="inlineStr">
        <is>
          <t>mayo</t>
        </is>
      </c>
      <c r="F162" s="2" t="n">
        <v>2026</v>
      </c>
      <c r="G162" s="3" t="inlineStr">
        <is>
          <t>RANCAGUA</t>
        </is>
      </c>
      <c r="H162" s="3" t="inlineStr">
        <is>
          <t>82623500-4/IDEAL S.A</t>
        </is>
      </c>
      <c r="I162" s="3" t="inlineStr">
        <is>
          <t>FYLB83</t>
        </is>
      </c>
      <c r="J162" s="2" t="n">
        <v>1</v>
      </c>
      <c r="K162" s="3" t="inlineStr">
        <is>
          <t>RANCAGUA</t>
        </is>
      </c>
      <c r="L162" s="2" t="n">
        <v>1458</v>
      </c>
    </row>
    <row r="163">
      <c r="A163" s="4">
        <f>"119297"</f>
        <v/>
      </c>
      <c r="B163" s="4" t="inlineStr">
        <is>
          <t>HKOOB37066335</t>
        </is>
      </c>
      <c r="C163" s="4" t="inlineStr">
        <is>
          <t>17/05/2026</t>
        </is>
      </c>
      <c r="D163" s="4" t="inlineStr">
        <is>
          <t>04:15:38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4" t="n">
        <v>1</v>
      </c>
      <c r="K163" s="5" t="inlineStr">
        <is>
          <t>CONCEPCION</t>
        </is>
      </c>
      <c r="L163" s="4" t="n">
        <v>1563</v>
      </c>
    </row>
    <row r="164">
      <c r="A164" s="2">
        <f>"119296"</f>
        <v/>
      </c>
      <c r="B164" s="2" t="inlineStr">
        <is>
          <t>HKOOB37066344</t>
        </is>
      </c>
      <c r="C164" s="2" t="inlineStr">
        <is>
          <t>17/05/2026</t>
        </is>
      </c>
      <c r="D164" s="2" t="inlineStr">
        <is>
          <t>04:36:15</t>
        </is>
      </c>
      <c r="E164" s="2" t="inlineStr">
        <is>
          <t>mayo</t>
        </is>
      </c>
      <c r="F164" s="2" t="n">
        <v>2026</v>
      </c>
      <c r="G164" s="3" t="inlineStr">
        <is>
          <t>PTO MONTT</t>
        </is>
      </c>
      <c r="H164" s="3" t="inlineStr">
        <is>
          <t>77636200-K/TRANSPORTES SAN GABRIEL LTDA.</t>
        </is>
      </c>
      <c r="I164" s="3" t="inlineStr">
        <is>
          <t>PJKT50</t>
        </is>
      </c>
      <c r="J164" s="2" t="n">
        <v>1</v>
      </c>
      <c r="K164" s="3" t="inlineStr">
        <is>
          <t>PTO MONTT</t>
        </is>
      </c>
      <c r="L164" s="2" t="n">
        <v>1696</v>
      </c>
    </row>
    <row r="165">
      <c r="A165" s="4">
        <f>"119298"</f>
        <v/>
      </c>
      <c r="B165" s="4" t="inlineStr">
        <is>
          <t>HKOOB37066330</t>
        </is>
      </c>
      <c r="C165" s="4" t="inlineStr">
        <is>
          <t>17/05/2026</t>
        </is>
      </c>
      <c r="D165" s="4" t="inlineStr">
        <is>
          <t>04:58:16</t>
        </is>
      </c>
      <c r="E165" s="4" t="inlineStr">
        <is>
          <t>mayo</t>
        </is>
      </c>
      <c r="F165" s="4" t="n">
        <v>2026</v>
      </c>
      <c r="G165" s="5" t="inlineStr">
        <is>
          <t>TALCA</t>
        </is>
      </c>
      <c r="H165" s="5" t="inlineStr">
        <is>
          <t>77636200-K/TRANSPORTES SAN GABRIEL LTDA.</t>
        </is>
      </c>
      <c r="I165" s="5" t="inlineStr">
        <is>
          <t>PSLY27</t>
        </is>
      </c>
      <c r="J165" s="4" t="n">
        <v>1</v>
      </c>
      <c r="K165" s="5" t="inlineStr">
        <is>
          <t>TALCA</t>
        </is>
      </c>
      <c r="L165" s="4" t="n">
        <v>1740</v>
      </c>
    </row>
    <row r="166">
      <c r="A166" s="2">
        <f>"119300"</f>
        <v/>
      </c>
      <c r="B166" s="2" t="inlineStr">
        <is>
          <t>HKOOB37066341</t>
        </is>
      </c>
      <c r="C166" s="2" t="inlineStr">
        <is>
          <t>17/05/2026</t>
        </is>
      </c>
      <c r="D166" s="2" t="inlineStr">
        <is>
          <t>05:10:01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3" t="inlineStr">
        <is>
          <t>SVLV52</t>
        </is>
      </c>
      <c r="J166" s="2" t="n">
        <v>1</v>
      </c>
      <c r="K166" s="3" t="inlineStr">
        <is>
          <t>TEMUCO</t>
        </is>
      </c>
      <c r="L166" s="2" t="n">
        <v>1559</v>
      </c>
    </row>
    <row r="167">
      <c r="A167" s="4">
        <f>"119303"</f>
        <v/>
      </c>
      <c r="B167" s="4" t="inlineStr">
        <is>
          <t>CHKO373989</t>
        </is>
      </c>
      <c r="C167" s="4" t="inlineStr">
        <is>
          <t>17/05/2026</t>
        </is>
      </c>
      <c r="D167" s="4" t="inlineStr">
        <is>
          <t>06:10:12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77636200-K/TRANSPORTES SAN GABRIEL LTDA.</t>
        </is>
      </c>
      <c r="I167" s="5" t="inlineStr">
        <is>
          <t>SIN PATENTE</t>
        </is>
      </c>
      <c r="J167" s="4" t="n">
        <v>1</v>
      </c>
      <c r="K167" s="5" t="inlineStr">
        <is>
          <t>ANTOFAGASTA</t>
        </is>
      </c>
      <c r="L167" s="4" t="n">
        <v>1074</v>
      </c>
    </row>
    <row r="168">
      <c r="A168" s="2">
        <f>"119290"</f>
        <v/>
      </c>
      <c r="B168" s="2" t="inlineStr">
        <is>
          <t>CHKO373949 / HKOOB37037366</t>
        </is>
      </c>
      <c r="C168" s="2" t="inlineStr">
        <is>
          <t>17/05/2026</t>
        </is>
      </c>
      <c r="D168" s="2" t="inlineStr">
        <is>
          <t>14:00:58</t>
        </is>
      </c>
      <c r="E168" s="2" t="inlineStr">
        <is>
          <t>mayo</t>
        </is>
      </c>
      <c r="F168" s="2" t="n">
        <v>2026</v>
      </c>
      <c r="G168" s="3" t="inlineStr">
        <is>
          <t>ANTOFAGASTA / IQUIQUE</t>
        </is>
      </c>
      <c r="H168" s="3" t="inlineStr">
        <is>
          <t>77636200-K/TRANSPORTES SAN GABRIEL LTDA.</t>
        </is>
      </c>
      <c r="I168" s="3" t="inlineStr">
        <is>
          <t>LTGY83</t>
        </is>
      </c>
      <c r="J168" s="2" t="n">
        <v>1</v>
      </c>
      <c r="K168" s="3" t="inlineStr">
        <is>
          <t>ANTOFAGASTA / IQUIQUE</t>
        </is>
      </c>
      <c r="L168" s="2" t="n">
        <v>719</v>
      </c>
    </row>
    <row r="169">
      <c r="A169" s="4">
        <f>"38716"</f>
        <v/>
      </c>
      <c r="B169" s="4" t="inlineStr">
        <is>
          <t>HKOOB37067756</t>
        </is>
      </c>
      <c r="C169" s="4" t="inlineStr">
        <is>
          <t>18/05/2026</t>
        </is>
      </c>
      <c r="D169" s="4" t="inlineStr">
        <is>
          <t>09:19:33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82623500-4/IDEAL S.A</t>
        </is>
      </c>
      <c r="I169" s="5" t="inlineStr">
        <is>
          <t>RZVS88</t>
        </is>
      </c>
      <c r="J169" s="4" t="n">
        <v>1</v>
      </c>
      <c r="K169" s="5" t="inlineStr">
        <is>
          <t>LO ESPEJO</t>
        </is>
      </c>
      <c r="L169" s="4" t="n">
        <v>1134</v>
      </c>
    </row>
    <row r="170">
      <c r="A170" s="2">
        <f>"119301"</f>
        <v/>
      </c>
      <c r="B170" s="2" t="inlineStr">
        <is>
          <t>CHKO374005 / HKOOB37066348</t>
        </is>
      </c>
      <c r="C170" s="2" t="inlineStr">
        <is>
          <t>18/05/2026</t>
        </is>
      </c>
      <c r="D170" s="2" t="inlineStr">
        <is>
          <t>09:39:15</t>
        </is>
      </c>
      <c r="E170" s="2" t="inlineStr">
        <is>
          <t>mayo</t>
        </is>
      </c>
      <c r="F170" s="2" t="n">
        <v>2026</v>
      </c>
      <c r="G170" s="3" t="inlineStr">
        <is>
          <t>ARICA</t>
        </is>
      </c>
      <c r="H170" s="3" t="inlineStr">
        <is>
          <t>77636200-K/TRANSPORTES SAN GABRIEL LTDA.</t>
        </is>
      </c>
      <c r="I170" s="3" t="inlineStr">
        <is>
          <t>RHDX19</t>
        </is>
      </c>
      <c r="J170" s="2" t="n">
        <v>1</v>
      </c>
      <c r="K170" s="3" t="inlineStr">
        <is>
          <t>ARICA</t>
        </is>
      </c>
      <c r="L170" s="2" t="n">
        <v>1701</v>
      </c>
    </row>
    <row r="171">
      <c r="A171" s="4">
        <f>"119304"</f>
        <v/>
      </c>
      <c r="B171" s="4" t="inlineStr">
        <is>
          <t>HKOOB37066334 / HKOOB37066339</t>
        </is>
      </c>
      <c r="C171" s="4" t="inlineStr">
        <is>
          <t>18/05/2026</t>
        </is>
      </c>
      <c r="D171" s="4" t="inlineStr">
        <is>
          <t>11:29:50</t>
        </is>
      </c>
      <c r="E171" s="4" t="inlineStr">
        <is>
          <t>mayo</t>
        </is>
      </c>
      <c r="F171" s="4" t="n">
        <v>2026</v>
      </c>
      <c r="G171" s="5" t="inlineStr">
        <is>
          <t>COPIAPO / LA SERENA</t>
        </is>
      </c>
      <c r="H171" s="5" t="inlineStr">
        <is>
          <t>77636200-K/TRANSPORTES SAN GABRIEL LTDA.</t>
        </is>
      </c>
      <c r="I171" s="5" t="inlineStr">
        <is>
          <t>LCTB56</t>
        </is>
      </c>
      <c r="J171" s="4" t="n">
        <v>1</v>
      </c>
      <c r="K171" s="5" t="inlineStr">
        <is>
          <t>COPIAPO / LA SERENA</t>
        </is>
      </c>
      <c r="L171" s="4" t="n">
        <v>1619</v>
      </c>
    </row>
    <row r="172">
      <c r="A172" s="2">
        <f>"119302"</f>
        <v/>
      </c>
      <c r="B172" s="2" t="inlineStr">
        <is>
          <t>HKOOB37066351 / HKOOB37066352</t>
        </is>
      </c>
      <c r="C172" s="2" t="inlineStr">
        <is>
          <t>18/05/2026</t>
        </is>
      </c>
      <c r="D172" s="2" t="inlineStr">
        <is>
          <t>12:06:37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76746317-0/TRAILER LOGISTICS SPA</t>
        </is>
      </c>
      <c r="I172" s="3" t="inlineStr">
        <is>
          <t>SIN PATENTE</t>
        </is>
      </c>
      <c r="J172" s="2" t="n">
        <v>1</v>
      </c>
      <c r="K172" s="3" t="inlineStr">
        <is>
          <t>ANTOFAGASTA</t>
        </is>
      </c>
      <c r="L172" s="2" t="n">
        <v>2102</v>
      </c>
    </row>
    <row r="173">
      <c r="A173" s="4">
        <f>"119305"</f>
        <v/>
      </c>
      <c r="B173" s="4" t="inlineStr">
        <is>
          <t>HKOOB37066340</t>
        </is>
      </c>
      <c r="C173" s="4" t="inlineStr">
        <is>
          <t>18/05/2026</t>
        </is>
      </c>
      <c r="D173" s="4" t="inlineStr">
        <is>
          <t>13:01:41</t>
        </is>
      </c>
      <c r="E173" s="4" t="inlineStr">
        <is>
          <t>mayo</t>
        </is>
      </c>
      <c r="F173" s="4" t="n">
        <v>2026</v>
      </c>
      <c r="G173" s="5" t="inlineStr">
        <is>
          <t>OSORNO</t>
        </is>
      </c>
      <c r="H173" s="5" t="inlineStr">
        <is>
          <t>77636200-K/TRANSPORTES SAN GABRIEL LTDA.</t>
        </is>
      </c>
      <c r="I173" s="5" t="inlineStr">
        <is>
          <t>LTGY82</t>
        </is>
      </c>
      <c r="J173" s="4" t="n">
        <v>1</v>
      </c>
      <c r="K173" s="5" t="inlineStr">
        <is>
          <t>OSORNO</t>
        </is>
      </c>
      <c r="L173" s="4" t="n">
        <v>1723</v>
      </c>
    </row>
    <row r="174">
      <c r="A174" s="2">
        <f>"119306"</f>
        <v/>
      </c>
      <c r="B174" s="2" t="inlineStr">
        <is>
          <t>HKOOB37066353</t>
        </is>
      </c>
      <c r="C174" s="2" t="inlineStr">
        <is>
          <t>18/05/2026</t>
        </is>
      </c>
      <c r="D174" s="2" t="inlineStr">
        <is>
          <t>14:41:22</t>
        </is>
      </c>
      <c r="E174" s="2" t="inlineStr">
        <is>
          <t>mayo</t>
        </is>
      </c>
      <c r="F174" s="2" t="n">
        <v>2026</v>
      </c>
      <c r="G174" s="3" t="inlineStr">
        <is>
          <t>LOS ANGELES</t>
        </is>
      </c>
      <c r="H174" s="3" t="inlineStr">
        <is>
          <t>77636200-K/TRANSPORTES SAN GABRIEL LTDA.</t>
        </is>
      </c>
      <c r="I174" s="3" t="inlineStr">
        <is>
          <t>RHDX20</t>
        </is>
      </c>
      <c r="J174" s="2" t="n">
        <v>1</v>
      </c>
      <c r="K174" s="3" t="inlineStr">
        <is>
          <t>LOS ANGELES</t>
        </is>
      </c>
      <c r="L174" s="2" t="n">
        <v>1602</v>
      </c>
    </row>
    <row r="175">
      <c r="A175" s="4">
        <f>"119299"</f>
        <v/>
      </c>
      <c r="B175" s="4" t="inlineStr">
        <is>
          <t>CHKO373702 / CHKO373911 / CHKO374004</t>
        </is>
      </c>
      <c r="C175" s="4" t="inlineStr">
        <is>
          <t>18/05/2026</t>
        </is>
      </c>
      <c r="D175" s="4" t="inlineStr">
        <is>
          <t>15:01:08</t>
        </is>
      </c>
      <c r="E175" s="4" t="inlineStr">
        <is>
          <t>mayo</t>
        </is>
      </c>
      <c r="F175" s="4" t="n">
        <v>2026</v>
      </c>
      <c r="G175" s="5" t="inlineStr">
        <is>
          <t>PTO MONTT / VALDIVIA</t>
        </is>
      </c>
      <c r="H175" s="5" t="inlineStr">
        <is>
          <t>77636200-K/TRANSPORTES SAN GABRIEL LTDA.</t>
        </is>
      </c>
      <c r="I175" s="5" t="inlineStr">
        <is>
          <t>PFBS12</t>
        </is>
      </c>
      <c r="J175" s="4" t="n">
        <v>1</v>
      </c>
      <c r="K175" s="5" t="inlineStr">
        <is>
          <t>PTO MONTT / VALDIVIA</t>
        </is>
      </c>
      <c r="L175" s="4" t="n">
        <v>1953</v>
      </c>
    </row>
    <row r="176">
      <c r="A176" s="2">
        <f>"38750"</f>
        <v/>
      </c>
      <c r="B176" s="2" t="inlineStr">
        <is>
          <t>HKOOB37067757</t>
        </is>
      </c>
      <c r="C176" s="2" t="inlineStr">
        <is>
          <t>18/05/2026</t>
        </is>
      </c>
      <c r="D176" s="2" t="inlineStr">
        <is>
          <t>15:18:59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82623500-4/IDEAL S.A</t>
        </is>
      </c>
      <c r="I176" s="3" t="inlineStr">
        <is>
          <t>STJR25</t>
        </is>
      </c>
      <c r="J176" s="2" t="n">
        <v>1</v>
      </c>
      <c r="K176" s="3" t="inlineStr">
        <is>
          <t>LO ESPEJO</t>
        </is>
      </c>
      <c r="L176" s="2" t="n">
        <v>1410</v>
      </c>
    </row>
    <row r="177">
      <c r="A177" s="4">
        <f>"119307"</f>
        <v/>
      </c>
      <c r="B177" s="4" t="inlineStr">
        <is>
          <t>CHKO374025</t>
        </is>
      </c>
      <c r="C177" s="4" t="inlineStr">
        <is>
          <t>18/05/2026</t>
        </is>
      </c>
      <c r="D177" s="4" t="inlineStr">
        <is>
          <t>15:30:53</t>
        </is>
      </c>
      <c r="E177" s="4" t="inlineStr">
        <is>
          <t>mayo</t>
        </is>
      </c>
      <c r="F177" s="4" t="n">
        <v>2026</v>
      </c>
      <c r="G177" s="5" t="inlineStr">
        <is>
          <t>COPIAPO</t>
        </is>
      </c>
      <c r="H177" s="5" t="inlineStr">
        <is>
          <t>77636200-K/TRANSPORTES SAN GABRIEL LTDA.</t>
        </is>
      </c>
      <c r="I177" s="5" t="inlineStr">
        <is>
          <t>PGBY32</t>
        </is>
      </c>
      <c r="J177" s="4" t="n">
        <v>1</v>
      </c>
      <c r="K177" s="5" t="inlineStr">
        <is>
          <t>COPIAPO</t>
        </is>
      </c>
      <c r="L177" s="4" t="n">
        <v>1707</v>
      </c>
    </row>
    <row r="178">
      <c r="A178" s="2">
        <f>"119308"</f>
        <v/>
      </c>
      <c r="B178" s="2" t="inlineStr">
        <is>
          <t>CHKO373703 / CHKO373952 / CHKO374066</t>
        </is>
      </c>
      <c r="C178" s="2" t="inlineStr">
        <is>
          <t>18/05/2026</t>
        </is>
      </c>
      <c r="D178" s="2" t="inlineStr">
        <is>
          <t>16:19:26</t>
        </is>
      </c>
      <c r="E178" s="2" t="inlineStr">
        <is>
          <t>mayo</t>
        </is>
      </c>
      <c r="F178" s="2" t="n">
        <v>2026</v>
      </c>
      <c r="G178" s="3" t="inlineStr">
        <is>
          <t>LA SERENA / RUTA SOLITARIA 1059 LV</t>
        </is>
      </c>
      <c r="H178" s="3" t="inlineStr">
        <is>
          <t>77636200-K/TRANSPORTES SAN GABRIEL LTDA.</t>
        </is>
      </c>
      <c r="I178" s="3" t="inlineStr">
        <is>
          <t>RFZY95</t>
        </is>
      </c>
      <c r="J178" s="2" t="n">
        <v>1</v>
      </c>
      <c r="K178" s="3" t="inlineStr">
        <is>
          <t>LA SERENA / RUTA SOLITARIA 1059 LV</t>
        </is>
      </c>
      <c r="L178" s="2" t="n">
        <v>1657</v>
      </c>
    </row>
    <row r="179">
      <c r="A179" s="4">
        <f>"119309"</f>
        <v/>
      </c>
      <c r="B179" s="4" t="inlineStr">
        <is>
          <t>HKOOB37067771</t>
        </is>
      </c>
      <c r="C179" s="4" t="inlineStr">
        <is>
          <t>18/05/2026</t>
        </is>
      </c>
      <c r="D179" s="4" t="inlineStr">
        <is>
          <t>16:57:31</t>
        </is>
      </c>
      <c r="E179" s="4" t="inlineStr">
        <is>
          <t>mayo</t>
        </is>
      </c>
      <c r="F179" s="4" t="n">
        <v>2026</v>
      </c>
      <c r="G179" s="5" t="inlineStr">
        <is>
          <t>VINA DEL MAR</t>
        </is>
      </c>
      <c r="H179" s="5" t="inlineStr">
        <is>
          <t>16575553-7/GABRIEL ALEJANDRO ESTAY CARRAZANA</t>
        </is>
      </c>
      <c r="I179" s="5" t="inlineStr">
        <is>
          <t>LWBV80</t>
        </is>
      </c>
      <c r="J179" s="4" t="n">
        <v>1</v>
      </c>
      <c r="K179" s="5" t="inlineStr">
        <is>
          <t>VINA DEL MAR</t>
        </is>
      </c>
      <c r="L179" s="4" t="n">
        <v>1684</v>
      </c>
    </row>
    <row r="180">
      <c r="A180" s="2">
        <f>"119310"</f>
        <v/>
      </c>
      <c r="B180" s="2" t="inlineStr">
        <is>
          <t>HKOOB37066343</t>
        </is>
      </c>
      <c r="C180" s="2" t="inlineStr">
        <is>
          <t>18/05/2026</t>
        </is>
      </c>
      <c r="D180" s="2" t="inlineStr">
        <is>
          <t>18:59:29</t>
        </is>
      </c>
      <c r="E180" s="2" t="inlineStr">
        <is>
          <t>mayo</t>
        </is>
      </c>
      <c r="F180" s="2" t="n">
        <v>2026</v>
      </c>
      <c r="G180" s="3" t="inlineStr">
        <is>
          <t>CHILLAN</t>
        </is>
      </c>
      <c r="H180" s="3" t="inlineStr">
        <is>
          <t>77636200-K/TRANSPORTES SAN GABRIEL LTDA.</t>
        </is>
      </c>
      <c r="I180" s="3" t="inlineStr">
        <is>
          <t>PFBS18</t>
        </is>
      </c>
      <c r="J180" s="2" t="n">
        <v>1</v>
      </c>
      <c r="K180" s="3" t="inlineStr">
        <is>
          <t>CHILLAN</t>
        </is>
      </c>
      <c r="L180" s="2" t="n">
        <v>1689</v>
      </c>
    </row>
    <row r="181">
      <c r="A181" s="4">
        <f>"119311"</f>
        <v/>
      </c>
      <c r="B181" s="4" t="inlineStr">
        <is>
          <t>HKOOB37066342</t>
        </is>
      </c>
      <c r="C181" s="4" t="inlineStr">
        <is>
          <t>18/05/2026</t>
        </is>
      </c>
      <c r="D181" s="4" t="inlineStr">
        <is>
          <t>19:07:07</t>
        </is>
      </c>
      <c r="E181" s="4" t="inlineStr">
        <is>
          <t>mayo</t>
        </is>
      </c>
      <c r="F181" s="4" t="n">
        <v>2026</v>
      </c>
      <c r="G181" s="5" t="inlineStr">
        <is>
          <t>TEMUCO</t>
        </is>
      </c>
      <c r="H181" s="5" t="inlineStr">
        <is>
          <t>77636200-K/TRANSPORTES SAN GABRIEL LTDA.</t>
        </is>
      </c>
      <c r="I181" s="5" t="inlineStr">
        <is>
          <t>PJJV11</t>
        </is>
      </c>
      <c r="J181" s="4" t="n">
        <v>1</v>
      </c>
      <c r="K181" s="5" t="inlineStr">
        <is>
          <t>TEMUCO</t>
        </is>
      </c>
      <c r="L181" s="4" t="n">
        <v>1588</v>
      </c>
    </row>
    <row r="182">
      <c r="A182" s="2">
        <f>"119314"</f>
        <v/>
      </c>
      <c r="B182" s="2" t="inlineStr">
        <is>
          <t>HKOOB37066328</t>
        </is>
      </c>
      <c r="C182" s="2" t="inlineStr">
        <is>
          <t>18/05/2026</t>
        </is>
      </c>
      <c r="D182" s="2" t="inlineStr">
        <is>
          <t>19:37:31</t>
        </is>
      </c>
      <c r="E182" s="2" t="inlineStr">
        <is>
          <t>mayo</t>
        </is>
      </c>
      <c r="F182" s="2" t="n">
        <v>2026</v>
      </c>
      <c r="G182" s="3" t="inlineStr">
        <is>
          <t>SAN FERNANDO</t>
        </is>
      </c>
      <c r="H182" s="3" t="inlineStr">
        <is>
          <t>76252773-1/GARATE Y GARATE LIMITADA</t>
        </is>
      </c>
      <c r="I182" s="3" t="inlineStr">
        <is>
          <t>FHDT82</t>
        </is>
      </c>
      <c r="J182" s="2" t="n">
        <v>1</v>
      </c>
      <c r="K182" s="3" t="inlineStr">
        <is>
          <t>SAN FERNANDO</t>
        </is>
      </c>
      <c r="L182" s="2" t="n">
        <v>1276</v>
      </c>
    </row>
    <row r="183">
      <c r="A183" s="4">
        <f>"119312"</f>
        <v/>
      </c>
      <c r="B183" s="4" t="inlineStr">
        <is>
          <t>HKOOB37066350</t>
        </is>
      </c>
      <c r="C183" s="4" t="inlineStr">
        <is>
          <t>18/05/2026</t>
        </is>
      </c>
      <c r="D183" s="4" t="inlineStr">
        <is>
          <t>19:46:23</t>
        </is>
      </c>
      <c r="E183" s="4" t="inlineStr">
        <is>
          <t>mayo</t>
        </is>
      </c>
      <c r="F183" s="4" t="n">
        <v>2026</v>
      </c>
      <c r="G183" s="5" t="inlineStr">
        <is>
          <t>ANTOFAGASTA</t>
        </is>
      </c>
      <c r="H183" s="5" t="inlineStr">
        <is>
          <t>77970090-9/TRANSPORTES DONA ISIDORA (LABBE)</t>
        </is>
      </c>
      <c r="I183" s="5" t="inlineStr">
        <is>
          <t>TGST50</t>
        </is>
      </c>
      <c r="J183" s="4" t="n">
        <v>1</v>
      </c>
      <c r="K183" s="5" t="inlineStr">
        <is>
          <t>ANTOFAGASTA</t>
        </is>
      </c>
      <c r="L183" s="4" t="n">
        <v>1735</v>
      </c>
    </row>
    <row r="184">
      <c r="A184" s="2">
        <f>"119316"</f>
        <v/>
      </c>
      <c r="B184" s="2" t="inlineStr">
        <is>
          <t>HKOOB37075218</t>
        </is>
      </c>
      <c r="C184" s="2" t="inlineStr">
        <is>
          <t>18/05/2026</t>
        </is>
      </c>
      <c r="D184" s="2" t="inlineStr">
        <is>
          <t>20:16:05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3" t="inlineStr">
        <is>
          <t>PJKT54</t>
        </is>
      </c>
      <c r="J184" s="2" t="n">
        <v>1</v>
      </c>
      <c r="K184" s="3" t="inlineStr">
        <is>
          <t>TALCA</t>
        </is>
      </c>
      <c r="L184" s="2" t="n">
        <v>1706</v>
      </c>
    </row>
    <row r="185">
      <c r="A185" s="4">
        <f>"119315"</f>
        <v/>
      </c>
      <c r="B185" s="4" t="inlineStr">
        <is>
          <t>HKOOB37066336</t>
        </is>
      </c>
      <c r="C185" s="4" t="inlineStr">
        <is>
          <t>18/05/2026</t>
        </is>
      </c>
      <c r="D185" s="4" t="inlineStr">
        <is>
          <t>20:42:28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76746317-0/TRAILER LOGISTICS SPA</t>
        </is>
      </c>
      <c r="I185" s="5" t="inlineStr">
        <is>
          <t>VJWL64</t>
        </is>
      </c>
      <c r="J185" s="4" t="n">
        <v>1</v>
      </c>
      <c r="K185" s="5" t="inlineStr">
        <is>
          <t>CONCEPCION</t>
        </is>
      </c>
      <c r="L185" s="4" t="n">
        <v>2098</v>
      </c>
    </row>
    <row r="186">
      <c r="A186" s="2">
        <f>"38785"</f>
        <v/>
      </c>
      <c r="B186" s="2" t="inlineStr">
        <is>
          <t>HKOOB37067758</t>
        </is>
      </c>
      <c r="C186" s="2" t="inlineStr">
        <is>
          <t>18/05/2026</t>
        </is>
      </c>
      <c r="D186" s="2" t="inlineStr">
        <is>
          <t>20:56:58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82623500-4/IDEAL S.A</t>
        </is>
      </c>
      <c r="I186" s="3" t="inlineStr">
        <is>
          <t>STJR25</t>
        </is>
      </c>
      <c r="J186" s="2" t="n">
        <v>1</v>
      </c>
      <c r="K186" s="3" t="inlineStr">
        <is>
          <t>LO ESPEJO</t>
        </is>
      </c>
      <c r="L186" s="2" t="n">
        <v>1363</v>
      </c>
    </row>
    <row r="187">
      <c r="A187" s="4">
        <f>"119317"</f>
        <v/>
      </c>
      <c r="B187" s="4" t="inlineStr">
        <is>
          <t>CHKO374026</t>
        </is>
      </c>
      <c r="C187" s="4" t="inlineStr">
        <is>
          <t>18/05/2026</t>
        </is>
      </c>
      <c r="D187" s="4" t="inlineStr">
        <is>
          <t>21:17:59</t>
        </is>
      </c>
      <c r="E187" s="4" t="inlineStr">
        <is>
          <t>mayo</t>
        </is>
      </c>
      <c r="F187" s="4" t="n">
        <v>2026</v>
      </c>
      <c r="G187" s="5" t="inlineStr">
        <is>
          <t>LA SERENA</t>
        </is>
      </c>
      <c r="H187" s="5" t="inlineStr">
        <is>
          <t>77636200-K/TRANSPORTES SAN GABRIEL LTDA.</t>
        </is>
      </c>
      <c r="I187" s="5" t="inlineStr">
        <is>
          <t>PSLY22</t>
        </is>
      </c>
      <c r="J187" s="4" t="n">
        <v>1</v>
      </c>
      <c r="K187" s="5" t="inlineStr">
        <is>
          <t>LA SERENA</t>
        </is>
      </c>
      <c r="L187" s="4" t="n">
        <v>1928</v>
      </c>
    </row>
    <row r="188">
      <c r="A188" s="2">
        <f>"119318"</f>
        <v/>
      </c>
      <c r="B188" s="2" t="inlineStr">
        <is>
          <t>CHKO373953 / HKOOB37075213</t>
        </is>
      </c>
      <c r="C188" s="2" t="inlineStr">
        <is>
          <t>18/05/2026</t>
        </is>
      </c>
      <c r="D188" s="2" t="inlineStr">
        <is>
          <t>21:35:58</t>
        </is>
      </c>
      <c r="E188" s="2" t="inlineStr">
        <is>
          <t>mayo</t>
        </is>
      </c>
      <c r="F188" s="2" t="n">
        <v>2026</v>
      </c>
      <c r="G188" s="3" t="inlineStr">
        <is>
          <t>PTO MONTT / VALDIVIA</t>
        </is>
      </c>
      <c r="H188" s="3" t="inlineStr">
        <is>
          <t>77970090-9/TRANSPORTES DONA ISIDORA (LABBE)</t>
        </is>
      </c>
      <c r="I188" s="3" t="inlineStr">
        <is>
          <t>TZSS94</t>
        </is>
      </c>
      <c r="J188" s="2" t="n">
        <v>1</v>
      </c>
      <c r="K188" s="3" t="inlineStr">
        <is>
          <t>PTO MONTT / VALDIVIA</t>
        </is>
      </c>
      <c r="L188" s="2" t="n">
        <v>1380</v>
      </c>
    </row>
    <row r="189">
      <c r="A189" s="4">
        <f>"38804"</f>
        <v/>
      </c>
      <c r="B189" s="4" t="inlineStr">
        <is>
          <t>HKOOB37067759</t>
        </is>
      </c>
      <c r="C189" s="4" t="inlineStr">
        <is>
          <t>18/05/2026</t>
        </is>
      </c>
      <c r="D189" s="4" t="inlineStr">
        <is>
          <t>23:18:16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STJR25</t>
        </is>
      </c>
      <c r="J189" s="4" t="n">
        <v>1</v>
      </c>
      <c r="K189" s="5" t="inlineStr">
        <is>
          <t>LO ESPEJO</t>
        </is>
      </c>
      <c r="L189" s="4" t="n">
        <v>1120</v>
      </c>
    </row>
    <row r="190">
      <c r="A190" s="2">
        <f>"38809"</f>
        <v/>
      </c>
      <c r="B190" s="2" t="inlineStr">
        <is>
          <t>HKOOB37067760</t>
        </is>
      </c>
      <c r="C190" s="2" t="inlineStr">
        <is>
          <t>18/05/2026</t>
        </is>
      </c>
      <c r="D190" s="2" t="inlineStr">
        <is>
          <t>23:46:42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82623500-4/IDEAL S.A</t>
        </is>
      </c>
      <c r="I190" s="3" t="inlineStr">
        <is>
          <t>TVTD89</t>
        </is>
      </c>
      <c r="J190" s="2" t="n">
        <v>1</v>
      </c>
      <c r="K190" s="3" t="inlineStr">
        <is>
          <t>LO ESPEJO</t>
        </is>
      </c>
      <c r="L190" s="2" t="n">
        <v>1066</v>
      </c>
    </row>
    <row r="191">
      <c r="A191" s="4">
        <f>"38811"</f>
        <v/>
      </c>
      <c r="B191" s="4" t="inlineStr">
        <is>
          <t>HKOOB37067767</t>
        </is>
      </c>
      <c r="C191" s="4" t="inlineStr">
        <is>
          <t>19/05/2026</t>
        </is>
      </c>
      <c r="D191" s="4" t="inlineStr">
        <is>
          <t>00:04:55</t>
        </is>
      </c>
      <c r="E191" s="4" t="inlineStr">
        <is>
          <t>mayo</t>
        </is>
      </c>
      <c r="F191" s="4" t="n">
        <v>2026</v>
      </c>
      <c r="G191" s="5" t="inlineStr">
        <is>
          <t>EL PINAR</t>
        </is>
      </c>
      <c r="H191" s="5" t="inlineStr">
        <is>
          <t>82623500-4/IDEAL S.A</t>
        </is>
      </c>
      <c r="I191" s="5" t="inlineStr">
        <is>
          <t>TVTD89</t>
        </is>
      </c>
      <c r="J191" s="4" t="n">
        <v>1</v>
      </c>
      <c r="K191" s="5" t="inlineStr">
        <is>
          <t>EL PINAR</t>
        </is>
      </c>
      <c r="L191" s="4" t="n">
        <v>1034</v>
      </c>
    </row>
    <row r="192">
      <c r="A192" s="2">
        <f>"119319"</f>
        <v/>
      </c>
      <c r="B192" s="2" t="inlineStr">
        <is>
          <t>HKOOB37067770</t>
        </is>
      </c>
      <c r="C192" s="2" t="inlineStr">
        <is>
          <t>19/05/2026</t>
        </is>
      </c>
      <c r="D192" s="2" t="inlineStr">
        <is>
          <t>02:10:51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82623500-4/IDEAL S.A</t>
        </is>
      </c>
      <c r="I192" s="3" t="inlineStr">
        <is>
          <t>TVTD89</t>
        </is>
      </c>
      <c r="J192" s="2" t="n">
        <v>1</v>
      </c>
      <c r="K192" s="3" t="inlineStr">
        <is>
          <t>VINA DEL MAR</t>
        </is>
      </c>
      <c r="L192" s="2" t="n">
        <v>1687</v>
      </c>
    </row>
    <row r="193">
      <c r="A193" s="4">
        <f>"38822"</f>
        <v/>
      </c>
      <c r="B193" s="4" t="inlineStr">
        <is>
          <t>HKOOB37067768</t>
        </is>
      </c>
      <c r="C193" s="4" t="inlineStr">
        <is>
          <t>19/05/2026</t>
        </is>
      </c>
      <c r="D193" s="4" t="inlineStr">
        <is>
          <t>02:45:48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82623500-4/IDEAL S.A</t>
        </is>
      </c>
      <c r="I193" s="5" t="inlineStr">
        <is>
          <t>STJR-25</t>
        </is>
      </c>
      <c r="J193" s="4" t="n">
        <v>1</v>
      </c>
      <c r="K193" s="5" t="inlineStr">
        <is>
          <t>EL PINAR</t>
        </is>
      </c>
      <c r="L193" s="4" t="n">
        <v>1341</v>
      </c>
    </row>
    <row r="194">
      <c r="A194" s="2">
        <f>"38824"</f>
        <v/>
      </c>
      <c r="B194" s="2" t="inlineStr">
        <is>
          <t>HKOOB37067761</t>
        </is>
      </c>
      <c r="C194" s="2" t="inlineStr">
        <is>
          <t>19/05/2026</t>
        </is>
      </c>
      <c r="D194" s="2" t="inlineStr">
        <is>
          <t>02:55:25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82623500-4/IDEAL S.A</t>
        </is>
      </c>
      <c r="I194" s="3" t="inlineStr">
        <is>
          <t>TVTD89</t>
        </is>
      </c>
      <c r="J194" s="2" t="n">
        <v>1</v>
      </c>
      <c r="K194" s="3" t="inlineStr">
        <is>
          <t>LO ESPEJO</t>
        </is>
      </c>
      <c r="L194" s="2" t="n">
        <v>1637</v>
      </c>
    </row>
    <row r="195">
      <c r="A195" s="4">
        <f>"119320"</f>
        <v/>
      </c>
      <c r="B195" s="4" t="inlineStr">
        <is>
          <t>HKOOB37075211</t>
        </is>
      </c>
      <c r="C195" s="4" t="inlineStr">
        <is>
          <t>19/05/2026</t>
        </is>
      </c>
      <c r="D195" s="4" t="inlineStr">
        <is>
          <t>03:44:24</t>
        </is>
      </c>
      <c r="E195" s="4" t="inlineStr">
        <is>
          <t>mayo</t>
        </is>
      </c>
      <c r="F195" s="4" t="n">
        <v>2026</v>
      </c>
      <c r="G195" s="5" t="inlineStr">
        <is>
          <t>LOS ANDES</t>
        </is>
      </c>
      <c r="H195" s="5" t="inlineStr">
        <is>
          <t>77970090-9/TRANSPORTES DONA ISIDORA (LABBE)</t>
        </is>
      </c>
      <c r="I195" s="5" t="inlineStr">
        <is>
          <t>FXRL17</t>
        </is>
      </c>
      <c r="J195" s="4" t="n">
        <v>1</v>
      </c>
      <c r="K195" s="5" t="inlineStr">
        <is>
          <t>LOS ANDES</t>
        </is>
      </c>
      <c r="L195" s="4" t="n">
        <v>1206</v>
      </c>
    </row>
    <row r="196">
      <c r="A196" s="2">
        <f>"38829"</f>
        <v/>
      </c>
      <c r="B196" s="2" t="inlineStr">
        <is>
          <t>HKOOB37067762</t>
        </is>
      </c>
      <c r="C196" s="2" t="inlineStr">
        <is>
          <t>19/05/2026</t>
        </is>
      </c>
      <c r="D196" s="2" t="inlineStr">
        <is>
          <t>04:06:27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82623500-4/IDEAL S.A</t>
        </is>
      </c>
      <c r="I196" s="3" t="inlineStr">
        <is>
          <t>STJR-25</t>
        </is>
      </c>
      <c r="J196" s="2" t="n">
        <v>1</v>
      </c>
      <c r="K196" s="3" t="inlineStr">
        <is>
          <t>LO ESPEJO</t>
        </is>
      </c>
      <c r="L196" s="2" t="n">
        <v>1565</v>
      </c>
    </row>
    <row r="197">
      <c r="A197" s="4">
        <f>"119321"</f>
        <v/>
      </c>
      <c r="B197" s="4" t="inlineStr">
        <is>
          <t>HKOOB37075697</t>
        </is>
      </c>
      <c r="C197" s="4" t="inlineStr">
        <is>
          <t>19/05/2026</t>
        </is>
      </c>
      <c r="D197" s="4" t="inlineStr">
        <is>
          <t>04:21:46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16575553-7/GABRIEL ALEJANDRO ESTAY CARRAZANA</t>
        </is>
      </c>
      <c r="I197" s="5" t="inlineStr">
        <is>
          <t>LWBV80</t>
        </is>
      </c>
      <c r="J197" s="4" t="n">
        <v>1</v>
      </c>
      <c r="K197" s="5" t="inlineStr">
        <is>
          <t>VINA DEL MAR</t>
        </is>
      </c>
      <c r="L197" s="4" t="n">
        <v>1559</v>
      </c>
    </row>
    <row r="198">
      <c r="A198" s="2">
        <f>"119322"</f>
        <v/>
      </c>
      <c r="B198" s="2" t="inlineStr">
        <is>
          <t>CHKO374068</t>
        </is>
      </c>
      <c r="C198" s="2" t="inlineStr">
        <is>
          <t>19/05/2026</t>
        </is>
      </c>
      <c r="D198" s="2" t="inlineStr">
        <is>
          <t>04:39:54</t>
        </is>
      </c>
      <c r="E198" s="2" t="inlineStr">
        <is>
          <t>mayo</t>
        </is>
      </c>
      <c r="F198" s="2" t="n">
        <v>2026</v>
      </c>
      <c r="G198" s="3" t="inlineStr">
        <is>
          <t>TEMUCO</t>
        </is>
      </c>
      <c r="H198" s="3" t="inlineStr">
        <is>
          <t>77636200-K/TRANSPORTES SAN GABRIEL LTDA.</t>
        </is>
      </c>
      <c r="I198" s="3" t="inlineStr">
        <is>
          <t>PSLY27</t>
        </is>
      </c>
      <c r="J198" s="2" t="n">
        <v>1</v>
      </c>
      <c r="K198" s="3" t="inlineStr">
        <is>
          <t>TEMUCO</t>
        </is>
      </c>
      <c r="L198" s="2" t="n">
        <v>1418</v>
      </c>
    </row>
    <row r="199">
      <c r="A199" s="4">
        <f>"119323"</f>
        <v/>
      </c>
      <c r="B199" s="4" t="inlineStr">
        <is>
          <t>HKOOB37077212</t>
        </is>
      </c>
      <c r="C199" s="4" t="inlineStr">
        <is>
          <t>19/05/2026</t>
        </is>
      </c>
      <c r="D199" s="4" t="inlineStr">
        <is>
          <t>05:53:59</t>
        </is>
      </c>
      <c r="E199" s="4" t="inlineStr">
        <is>
          <t>mayo</t>
        </is>
      </c>
      <c r="F199" s="4" t="n">
        <v>2026</v>
      </c>
      <c r="G199" s="5" t="inlineStr">
        <is>
          <t>ANTOFAGASTA</t>
        </is>
      </c>
      <c r="H199" s="5" t="inlineStr">
        <is>
          <t>77636200-K/TRANSPORTES SAN GABRIEL LTDA.</t>
        </is>
      </c>
      <c r="I199" s="5" t="inlineStr">
        <is>
          <t>PFBS15</t>
        </is>
      </c>
      <c r="J199" s="4" t="n">
        <v>1</v>
      </c>
      <c r="K199" s="5" t="inlineStr">
        <is>
          <t>ANTOFAGASTA</t>
        </is>
      </c>
      <c r="L199" s="4" t="n">
        <v>1836</v>
      </c>
    </row>
    <row r="200">
      <c r="A200" s="2">
        <f>"119324"</f>
        <v/>
      </c>
      <c r="B200" s="2" t="inlineStr">
        <is>
          <t>HKOOB37075207</t>
        </is>
      </c>
      <c r="C200" s="2" t="inlineStr">
        <is>
          <t>19/05/2026</t>
        </is>
      </c>
      <c r="D200" s="2" t="inlineStr">
        <is>
          <t>06:08:20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3" t="inlineStr">
        <is>
          <t>DRPH69</t>
        </is>
      </c>
      <c r="J200" s="2" t="n">
        <v>1</v>
      </c>
      <c r="K200" s="3" t="inlineStr">
        <is>
          <t>RANCAGUA</t>
        </is>
      </c>
      <c r="L200" s="2" t="n">
        <v>1637</v>
      </c>
    </row>
    <row r="201">
      <c r="A201" s="4">
        <f>"119325"</f>
        <v/>
      </c>
      <c r="B201" s="4" t="inlineStr">
        <is>
          <t>HKOOB37075220</t>
        </is>
      </c>
      <c r="C201" s="4" t="inlineStr">
        <is>
          <t>19/05/2026</t>
        </is>
      </c>
      <c r="D201" s="4" t="inlineStr">
        <is>
          <t>06:30:38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5" t="inlineStr">
        <is>
          <t>ZL7937</t>
        </is>
      </c>
      <c r="J201" s="4" t="n">
        <v>1</v>
      </c>
      <c r="K201" s="5" t="inlineStr">
        <is>
          <t>MELIPILLA</t>
        </is>
      </c>
      <c r="L201" s="4" t="n">
        <v>1729</v>
      </c>
    </row>
    <row r="202">
      <c r="A202" s="2">
        <f>"119326"</f>
        <v/>
      </c>
      <c r="B202" s="2" t="inlineStr">
        <is>
          <t>HKOOB37075217</t>
        </is>
      </c>
      <c r="C202" s="2" t="inlineStr">
        <is>
          <t>19/05/2026</t>
        </is>
      </c>
      <c r="D202" s="2" t="inlineStr">
        <is>
          <t>08:53:35</t>
        </is>
      </c>
      <c r="E202" s="2" t="inlineStr">
        <is>
          <t>mayo</t>
        </is>
      </c>
      <c r="F202" s="2" t="n">
        <v>2026</v>
      </c>
      <c r="G202" s="3" t="inlineStr">
        <is>
          <t>TALCA</t>
        </is>
      </c>
      <c r="H202" s="3" t="inlineStr">
        <is>
          <t>77636200-K/TRANSPORTES SAN GABRIEL LTDA.</t>
        </is>
      </c>
      <c r="I202" s="3" t="inlineStr">
        <is>
          <t>PJKT44</t>
        </is>
      </c>
      <c r="J202" s="2" t="n">
        <v>1</v>
      </c>
      <c r="K202" s="3" t="inlineStr">
        <is>
          <t>TALCA</t>
        </is>
      </c>
      <c r="L202" s="2" t="n">
        <v>1492</v>
      </c>
    </row>
    <row r="203">
      <c r="A203" s="4">
        <f>"119327"</f>
        <v/>
      </c>
      <c r="B203" s="4" t="inlineStr">
        <is>
          <t>HKOOB37066345</t>
        </is>
      </c>
      <c r="C203" s="4" t="inlineStr">
        <is>
          <t>19/05/2026</t>
        </is>
      </c>
      <c r="D203" s="4" t="inlineStr">
        <is>
          <t>09:12:44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5" t="inlineStr">
        <is>
          <t>LXHJ99</t>
        </is>
      </c>
      <c r="J203" s="4" t="n">
        <v>1</v>
      </c>
      <c r="K203" s="5" t="inlineStr">
        <is>
          <t>PTO MONTT</t>
        </is>
      </c>
      <c r="L203" s="4" t="n">
        <v>1716</v>
      </c>
    </row>
    <row r="204">
      <c r="A204" s="2">
        <f>"119328"</f>
        <v/>
      </c>
      <c r="B204" s="2" t="inlineStr">
        <is>
          <t>HKOOB37077210</t>
        </is>
      </c>
      <c r="C204" s="2" t="inlineStr">
        <is>
          <t>19/05/2026</t>
        </is>
      </c>
      <c r="D204" s="2" t="inlineStr">
        <is>
          <t>09:35:32</t>
        </is>
      </c>
      <c r="E204" s="2" t="inlineStr">
        <is>
          <t>mayo</t>
        </is>
      </c>
      <c r="F204" s="2" t="n">
        <v>2026</v>
      </c>
      <c r="G204" s="3" t="inlineStr">
        <is>
          <t>IQUIQUE</t>
        </is>
      </c>
      <c r="H204" s="3" t="inlineStr">
        <is>
          <t>77636200-K/TRANSPORTES SAN GABRIEL LTDA.</t>
        </is>
      </c>
      <c r="I204" s="3" t="inlineStr">
        <is>
          <t>PGKD18</t>
        </is>
      </c>
      <c r="J204" s="2" t="n">
        <v>1</v>
      </c>
      <c r="K204" s="3" t="inlineStr">
        <is>
          <t>IQUIQUE</t>
        </is>
      </c>
      <c r="L204" s="2" t="n">
        <v>1855</v>
      </c>
    </row>
    <row r="205">
      <c r="A205" s="4">
        <f>"38874"</f>
        <v/>
      </c>
      <c r="B205" s="4" t="inlineStr">
        <is>
          <t>HKOOB37075701</t>
        </is>
      </c>
      <c r="C205" s="4" t="inlineStr">
        <is>
          <t>19/05/2026</t>
        </is>
      </c>
      <c r="D205" s="4" t="inlineStr">
        <is>
          <t>10:17:03</t>
        </is>
      </c>
      <c r="E205" s="4" t="inlineStr">
        <is>
          <t>mayo</t>
        </is>
      </c>
      <c r="F205" s="4" t="n">
        <v>2026</v>
      </c>
      <c r="G205" s="5" t="inlineStr">
        <is>
          <t>EL PINAR</t>
        </is>
      </c>
      <c r="H205" s="5" t="inlineStr">
        <is>
          <t>82623500-4/IDEAL S.A</t>
        </is>
      </c>
      <c r="I205" s="5" t="inlineStr">
        <is>
          <t>STJR25</t>
        </is>
      </c>
      <c r="J205" s="4" t="n">
        <v>1</v>
      </c>
      <c r="K205" s="5" t="inlineStr">
        <is>
          <t>EL PINAR</t>
        </is>
      </c>
      <c r="L205" s="4" t="n">
        <v>1051</v>
      </c>
    </row>
    <row r="206">
      <c r="A206" s="2">
        <f>"119329"</f>
        <v/>
      </c>
      <c r="B206" s="2" t="inlineStr">
        <is>
          <t>HKOOB37075209</t>
        </is>
      </c>
      <c r="C206" s="2" t="inlineStr">
        <is>
          <t>19/05/2026</t>
        </is>
      </c>
      <c r="D206" s="2" t="inlineStr">
        <is>
          <t>10:39:54</t>
        </is>
      </c>
      <c r="E206" s="2" t="inlineStr">
        <is>
          <t>mayo</t>
        </is>
      </c>
      <c r="F206" s="2" t="n">
        <v>2026</v>
      </c>
      <c r="G206" s="3" t="inlineStr">
        <is>
          <t>CONCEPCION</t>
        </is>
      </c>
      <c r="H206" s="3" t="inlineStr">
        <is>
          <t>77636200-K/TRANSPORTES SAN GABRIEL LTDA.</t>
        </is>
      </c>
      <c r="I206" s="3" t="inlineStr">
        <is>
          <t>LCTB55</t>
        </is>
      </c>
      <c r="J206" s="2" t="n">
        <v>1</v>
      </c>
      <c r="K206" s="3" t="inlineStr">
        <is>
          <t>CONCEPCION</t>
        </is>
      </c>
      <c r="L206" s="2" t="n">
        <v>1780</v>
      </c>
    </row>
    <row r="207">
      <c r="A207" s="4">
        <f>"38883"</f>
        <v/>
      </c>
      <c r="B207" s="4" t="inlineStr">
        <is>
          <t>HKOOB37067764</t>
        </is>
      </c>
      <c r="C207" s="4" t="inlineStr">
        <is>
          <t>19/05/2026</t>
        </is>
      </c>
      <c r="D207" s="4" t="inlineStr">
        <is>
          <t>11:33:22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82623500-4/IDEAL S.A</t>
        </is>
      </c>
      <c r="I207" s="5" t="inlineStr">
        <is>
          <t>RZVS88</t>
        </is>
      </c>
      <c r="J207" s="4" t="n">
        <v>1</v>
      </c>
      <c r="K207" s="5" t="inlineStr">
        <is>
          <t>LO ESPEJO</t>
        </is>
      </c>
      <c r="L207" s="4" t="n">
        <v>1112</v>
      </c>
    </row>
    <row r="208">
      <c r="A208" s="2">
        <f>"119330"</f>
        <v/>
      </c>
      <c r="B208" s="2" t="inlineStr">
        <is>
          <t>HKOOB37075216</t>
        </is>
      </c>
      <c r="C208" s="2" t="inlineStr">
        <is>
          <t>19/05/2026</t>
        </is>
      </c>
      <c r="D208" s="2" t="inlineStr">
        <is>
          <t>11:56:25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3" t="inlineStr">
        <is>
          <t>PFBS16</t>
        </is>
      </c>
      <c r="J208" s="2" t="n">
        <v>1</v>
      </c>
      <c r="K208" s="3" t="inlineStr">
        <is>
          <t>LOS ANGELES</t>
        </is>
      </c>
      <c r="L208" s="2" t="n">
        <v>1805</v>
      </c>
    </row>
    <row r="209">
      <c r="A209" s="4">
        <f>"38897"</f>
        <v/>
      </c>
      <c r="B209" s="4" t="inlineStr">
        <is>
          <t>HKOOB37075687</t>
        </is>
      </c>
      <c r="C209" s="4" t="inlineStr">
        <is>
          <t>19/05/2026</t>
        </is>
      </c>
      <c r="D209" s="4" t="inlineStr">
        <is>
          <t>12:45:56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82623500-4/IDEAL S.A</t>
        </is>
      </c>
      <c r="I209" s="5" t="inlineStr">
        <is>
          <t>TVTD89</t>
        </is>
      </c>
      <c r="J209" s="4" t="n">
        <v>1</v>
      </c>
      <c r="K209" s="5" t="inlineStr">
        <is>
          <t>LO ESPEJO</t>
        </is>
      </c>
      <c r="L209" s="4" t="n">
        <v>1399</v>
      </c>
    </row>
    <row r="210">
      <c r="A210" s="2">
        <f>"119331"</f>
        <v/>
      </c>
      <c r="B210" s="2" t="inlineStr">
        <is>
          <t>CHKO373955</t>
        </is>
      </c>
      <c r="C210" s="2" t="inlineStr">
        <is>
          <t>19/05/2026</t>
        </is>
      </c>
      <c r="D210" s="2" t="inlineStr">
        <is>
          <t>15:05:54</t>
        </is>
      </c>
      <c r="E210" s="2" t="inlineStr">
        <is>
          <t>mayo</t>
        </is>
      </c>
      <c r="F210" s="2" t="n">
        <v>2026</v>
      </c>
      <c r="G210" s="3" t="inlineStr">
        <is>
          <t>TALCA</t>
        </is>
      </c>
      <c r="H210" s="3" t="inlineStr">
        <is>
          <t>77970090-9/TRANSPORTES DONA ISIDORA (LABBE)</t>
        </is>
      </c>
      <c r="I210" s="3" t="inlineStr">
        <is>
          <t>FXRL17</t>
        </is>
      </c>
      <c r="J210" s="2" t="n">
        <v>1</v>
      </c>
      <c r="K210" s="3" t="inlineStr">
        <is>
          <t>TALCA</t>
        </is>
      </c>
      <c r="L210" s="2" t="n">
        <v>1451</v>
      </c>
    </row>
    <row r="211">
      <c r="A211" s="4">
        <f>"119332"</f>
        <v/>
      </c>
      <c r="B211" s="4" t="inlineStr">
        <is>
          <t>HKOOB37075699</t>
        </is>
      </c>
      <c r="C211" s="4" t="inlineStr">
        <is>
          <t>19/05/2026</t>
        </is>
      </c>
      <c r="D211" s="4" t="inlineStr">
        <is>
          <t>15:25:20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5" t="inlineStr">
        <is>
          <t>LWBV80</t>
        </is>
      </c>
      <c r="J211" s="4" t="n">
        <v>1</v>
      </c>
      <c r="K211" s="5" t="inlineStr">
        <is>
          <t>VINA DEL MAR</t>
        </is>
      </c>
      <c r="L211" s="4" t="n">
        <v>1544</v>
      </c>
    </row>
    <row r="212">
      <c r="A212" s="2">
        <f>"119333"</f>
        <v/>
      </c>
      <c r="B212" s="2" t="inlineStr">
        <is>
          <t>HKOOB37077213</t>
        </is>
      </c>
      <c r="C212" s="2" t="inlineStr">
        <is>
          <t>19/05/2026</t>
        </is>
      </c>
      <c r="D212" s="2" t="inlineStr">
        <is>
          <t>17:01:44</t>
        </is>
      </c>
      <c r="E212" s="2" t="inlineStr">
        <is>
          <t>mayo</t>
        </is>
      </c>
      <c r="F212" s="2" t="n">
        <v>2026</v>
      </c>
      <c r="G212" s="3" t="inlineStr">
        <is>
          <t>ANTOFAGASTA</t>
        </is>
      </c>
      <c r="H212" s="3" t="inlineStr">
        <is>
          <t>77636200-K/TRANSPORTES SAN GABRIEL LTDA.</t>
        </is>
      </c>
      <c r="I212" s="3" t="inlineStr">
        <is>
          <t>RFZY93</t>
        </is>
      </c>
      <c r="J212" s="2" t="n">
        <v>1</v>
      </c>
      <c r="K212" s="3" t="inlineStr">
        <is>
          <t>ANTOFAGASTA</t>
        </is>
      </c>
      <c r="L212" s="2" t="n">
        <v>1782</v>
      </c>
    </row>
    <row r="213">
      <c r="A213" s="4">
        <f>"38913"</f>
        <v/>
      </c>
      <c r="B213" s="4" t="inlineStr">
        <is>
          <t>HKOOB37075689</t>
        </is>
      </c>
      <c r="C213" s="4" t="inlineStr">
        <is>
          <t>19/05/2026</t>
        </is>
      </c>
      <c r="D213" s="4" t="inlineStr">
        <is>
          <t>17:13:59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82623500-4/IDEAL S.A</t>
        </is>
      </c>
      <c r="I213" s="5" t="inlineStr">
        <is>
          <t>RZVS88</t>
        </is>
      </c>
      <c r="J213" s="4" t="n">
        <v>1</v>
      </c>
      <c r="K213" s="5" t="inlineStr">
        <is>
          <t>LO ESPEJO</t>
        </is>
      </c>
      <c r="L213" s="4" t="n">
        <v>1356</v>
      </c>
    </row>
    <row r="214">
      <c r="A214" s="2">
        <f>"119334"</f>
        <v/>
      </c>
      <c r="B214" s="2" t="inlineStr">
        <is>
          <t>HKOOB37075210</t>
        </is>
      </c>
      <c r="C214" s="2" t="inlineStr">
        <is>
          <t>19/05/2026</t>
        </is>
      </c>
      <c r="D214" s="2" t="inlineStr">
        <is>
          <t>18:26:25</t>
        </is>
      </c>
      <c r="E214" s="2" t="inlineStr">
        <is>
          <t>mayo</t>
        </is>
      </c>
      <c r="F214" s="2" t="n">
        <v>2026</v>
      </c>
      <c r="G214" s="3" t="inlineStr">
        <is>
          <t>CONCEPCION</t>
        </is>
      </c>
      <c r="H214" s="3" t="inlineStr">
        <is>
          <t>76746317-0/TRAILER LOGISTICS SPA</t>
        </is>
      </c>
      <c r="I214" s="3" t="inlineStr">
        <is>
          <t>VJWL64</t>
        </is>
      </c>
      <c r="J214" s="2" t="n">
        <v>1</v>
      </c>
      <c r="K214" s="3" t="inlineStr">
        <is>
          <t>CONCEPCION</t>
        </is>
      </c>
      <c r="L214" s="2" t="n">
        <v>2113</v>
      </c>
    </row>
    <row r="215">
      <c r="A215" s="4">
        <f>"38923"</f>
        <v/>
      </c>
      <c r="B215" s="4" t="inlineStr">
        <is>
          <t>HKOOB37075690</t>
        </is>
      </c>
      <c r="C215" s="4" t="inlineStr">
        <is>
          <t>19/05/2026</t>
        </is>
      </c>
      <c r="D215" s="4" t="inlineStr">
        <is>
          <t>18:37:11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82623500-4/IDEAL S.A</t>
        </is>
      </c>
      <c r="I215" s="5" t="inlineStr">
        <is>
          <t>TVTD-89</t>
        </is>
      </c>
      <c r="J215" s="4" t="n">
        <v>1</v>
      </c>
      <c r="K215" s="5" t="inlineStr">
        <is>
          <t>LO ESPEJO</t>
        </is>
      </c>
      <c r="L215" s="4" t="n">
        <v>1111</v>
      </c>
    </row>
    <row r="216">
      <c r="A216" s="2">
        <f>"119335"</f>
        <v/>
      </c>
      <c r="B216" s="2" t="inlineStr">
        <is>
          <t>HKOOB37075206</t>
        </is>
      </c>
      <c r="C216" s="2" t="inlineStr">
        <is>
          <t>19/05/2026</t>
        </is>
      </c>
      <c r="D216" s="2" t="inlineStr">
        <is>
          <t>19:32:04</t>
        </is>
      </c>
      <c r="E216" s="2" t="inlineStr">
        <is>
          <t>mayo</t>
        </is>
      </c>
      <c r="F216" s="2" t="n">
        <v>2026</v>
      </c>
      <c r="G216" s="3" t="inlineStr">
        <is>
          <t>LA SERENA</t>
        </is>
      </c>
      <c r="H216" s="3" t="inlineStr">
        <is>
          <t>77636200-K/TRANSPORTES SAN GABRIEL LTDA.</t>
        </is>
      </c>
      <c r="I216" s="3" t="inlineStr">
        <is>
          <t>RFZY99</t>
        </is>
      </c>
      <c r="J216" s="2" t="n">
        <v>1</v>
      </c>
      <c r="K216" s="3" t="inlineStr">
        <is>
          <t>LA SERENA</t>
        </is>
      </c>
      <c r="L216" s="2" t="n">
        <v>1448</v>
      </c>
    </row>
    <row r="217">
      <c r="A217" s="4">
        <f>"38928"</f>
        <v/>
      </c>
      <c r="B217" s="4" t="inlineStr">
        <is>
          <t>HKOOB37075691</t>
        </is>
      </c>
      <c r="C217" s="4" t="inlineStr">
        <is>
          <t>19/05/2026</t>
        </is>
      </c>
      <c r="D217" s="4" t="inlineStr">
        <is>
          <t>19:42:25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82623500-4/IDEAL S.A</t>
        </is>
      </c>
      <c r="I217" s="5" t="inlineStr">
        <is>
          <t>RZVS-88</t>
        </is>
      </c>
      <c r="J217" s="4" t="n">
        <v>1</v>
      </c>
      <c r="K217" s="5" t="inlineStr">
        <is>
          <t>LO ESPEJO</t>
        </is>
      </c>
      <c r="L217" s="4" t="n">
        <v>1288</v>
      </c>
    </row>
    <row r="218">
      <c r="A218" s="2">
        <f>"38929"</f>
        <v/>
      </c>
      <c r="B218" s="2" t="inlineStr">
        <is>
          <t>HKOOB37075703</t>
        </is>
      </c>
      <c r="C218" s="2" t="inlineStr">
        <is>
          <t>19/05/2026</t>
        </is>
      </c>
      <c r="D218" s="2" t="inlineStr">
        <is>
          <t>19:51:10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82623500-4/IDEAL S.A</t>
        </is>
      </c>
      <c r="I218" s="3" t="inlineStr">
        <is>
          <t>TVTD-89</t>
        </is>
      </c>
      <c r="J218" s="2" t="n">
        <v>1</v>
      </c>
      <c r="K218" s="3" t="inlineStr">
        <is>
          <t>EL PINAR</t>
        </is>
      </c>
      <c r="L218" s="2" t="n">
        <v>1164</v>
      </c>
    </row>
    <row r="219">
      <c r="A219" s="4">
        <f>"119337"</f>
        <v/>
      </c>
      <c r="B219" s="4" t="inlineStr">
        <is>
          <t>HKOOB37077851</t>
        </is>
      </c>
      <c r="C219" s="4" t="inlineStr">
        <is>
          <t>19/05/2026</t>
        </is>
      </c>
      <c r="D219" s="4" t="inlineStr">
        <is>
          <t>20:38:45</t>
        </is>
      </c>
      <c r="E219" s="4" t="inlineStr">
        <is>
          <t>mayo</t>
        </is>
      </c>
      <c r="F219" s="4" t="n">
        <v>2026</v>
      </c>
      <c r="G219" s="5" t="inlineStr">
        <is>
          <t>SAN FERNANDO</t>
        </is>
      </c>
      <c r="H219" s="5" t="inlineStr">
        <is>
          <t>76252773-1/GARATE Y GARATE LIMITADA</t>
        </is>
      </c>
      <c r="I219" s="5" t="inlineStr">
        <is>
          <t>FHDT82</t>
        </is>
      </c>
      <c r="J219" s="4" t="n">
        <v>1</v>
      </c>
      <c r="K219" s="5" t="inlineStr">
        <is>
          <t>SAN FERNANDO</t>
        </is>
      </c>
      <c r="L219" s="4" t="n">
        <v>557</v>
      </c>
    </row>
    <row r="220">
      <c r="A220" s="2">
        <f>"119336"</f>
        <v/>
      </c>
      <c r="B220" s="2" t="inlineStr">
        <is>
          <t>HKOOB37075214</t>
        </is>
      </c>
      <c r="C220" s="2" t="inlineStr">
        <is>
          <t>19/05/2026</t>
        </is>
      </c>
      <c r="D220" s="2" t="inlineStr">
        <is>
          <t>20:50:48</t>
        </is>
      </c>
      <c r="E220" s="2" t="inlineStr">
        <is>
          <t>mayo</t>
        </is>
      </c>
      <c r="F220" s="2" t="n">
        <v>2026</v>
      </c>
      <c r="G220" s="3" t="inlineStr">
        <is>
          <t>CHILLAN</t>
        </is>
      </c>
      <c r="H220" s="3" t="inlineStr">
        <is>
          <t>77636200-K/TRANSPORTES SAN GABRIEL LTDA.</t>
        </is>
      </c>
      <c r="I220" s="3" t="inlineStr">
        <is>
          <t>PSLY22</t>
        </is>
      </c>
      <c r="J220" s="2" t="n">
        <v>1</v>
      </c>
      <c r="K220" s="3" t="inlineStr">
        <is>
          <t>CHILLAN</t>
        </is>
      </c>
      <c r="L220" s="2" t="n">
        <v>1738</v>
      </c>
    </row>
    <row r="221">
      <c r="A221" s="4">
        <f>"119338"</f>
        <v/>
      </c>
      <c r="B221" s="4" t="inlineStr">
        <is>
          <t>HKOOB37075698</t>
        </is>
      </c>
      <c r="C221" s="4" t="inlineStr">
        <is>
          <t>19/05/2026</t>
        </is>
      </c>
      <c r="D221" s="4" t="inlineStr">
        <is>
          <t>21:52:46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82623500-4/IDEAL S.A</t>
        </is>
      </c>
      <c r="I221" s="5" t="inlineStr">
        <is>
          <t>RZVS-88</t>
        </is>
      </c>
      <c r="J221" s="4" t="n">
        <v>1</v>
      </c>
      <c r="K221" s="5" t="inlineStr">
        <is>
          <t>VINA DEL MAR</t>
        </is>
      </c>
      <c r="L221" s="4" t="n">
        <v>1614</v>
      </c>
    </row>
    <row r="222">
      <c r="A222" s="2">
        <f>"119339"</f>
        <v/>
      </c>
      <c r="B222" s="2" t="inlineStr">
        <is>
          <t>HKOOB37081613</t>
        </is>
      </c>
      <c r="C222" s="2" t="inlineStr">
        <is>
          <t>20/05/2026</t>
        </is>
      </c>
      <c r="D222" s="2" t="inlineStr">
        <is>
          <t>00:35:28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3" t="inlineStr">
        <is>
          <t>PGBY32</t>
        </is>
      </c>
      <c r="J222" s="2" t="n">
        <v>1</v>
      </c>
      <c r="K222" s="3" t="inlineStr">
        <is>
          <t>PTO MONTT</t>
        </is>
      </c>
      <c r="L222" s="2" t="n">
        <v>1606</v>
      </c>
    </row>
    <row r="223">
      <c r="A223" s="4">
        <f>"38967"</f>
        <v/>
      </c>
      <c r="B223" s="4" t="inlineStr">
        <is>
          <t>HKOOB37084225</t>
        </is>
      </c>
      <c r="C223" s="4" t="inlineStr">
        <is>
          <t>20/05/2026</t>
        </is>
      </c>
      <c r="D223" s="4" t="inlineStr">
        <is>
          <t>01:56:31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82623500-4/IDEAL S.A</t>
        </is>
      </c>
      <c r="I223" s="5" t="inlineStr">
        <is>
          <t>STJR25</t>
        </is>
      </c>
      <c r="J223" s="4" t="n">
        <v>1</v>
      </c>
      <c r="K223" s="5" t="inlineStr">
        <is>
          <t>LO ESPEJO</t>
        </is>
      </c>
      <c r="L223" s="4" t="n">
        <v>1146</v>
      </c>
    </row>
    <row r="224">
      <c r="A224" s="2">
        <f>"119340"</f>
        <v/>
      </c>
      <c r="B224" s="2" t="inlineStr">
        <is>
          <t>HKOOB37081601</t>
        </is>
      </c>
      <c r="C224" s="2" t="inlineStr">
        <is>
          <t>20/05/2026</t>
        </is>
      </c>
      <c r="D224" s="2" t="inlineStr">
        <is>
          <t>02:25:31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3" t="inlineStr">
        <is>
          <t>PSLY21</t>
        </is>
      </c>
      <c r="J224" s="2" t="n">
        <v>1</v>
      </c>
      <c r="K224" s="3" t="inlineStr">
        <is>
          <t>TEMUCO</t>
        </is>
      </c>
      <c r="L224" s="2" t="n">
        <v>1671</v>
      </c>
    </row>
    <row r="225">
      <c r="A225" s="4">
        <f>"119341"</f>
        <v/>
      </c>
      <c r="B225" s="4" t="inlineStr">
        <is>
          <t>HKOOB37081614 / HKOOB37081617</t>
        </is>
      </c>
      <c r="C225" s="4" t="inlineStr">
        <is>
          <t>20/05/2026</t>
        </is>
      </c>
      <c r="D225" s="4" t="inlineStr">
        <is>
          <t>03:29:37</t>
        </is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5" t="inlineStr">
        <is>
          <t>PJKT54</t>
        </is>
      </c>
      <c r="J225" s="4" t="n">
        <v>1</v>
      </c>
      <c r="K225" s="5" t="inlineStr">
        <is>
          <t>PTO MONTT / RUTA SOLITARIA ELPAC</t>
        </is>
      </c>
      <c r="L225" s="4" t="n">
        <v>1621</v>
      </c>
    </row>
    <row r="226">
      <c r="A226" s="2">
        <f>"119342"</f>
        <v/>
      </c>
      <c r="B226" s="2" t="inlineStr">
        <is>
          <t>HKOOB37081622</t>
        </is>
      </c>
      <c r="C226" s="2" t="inlineStr">
        <is>
          <t>20/05/2026</t>
        </is>
      </c>
      <c r="D226" s="2" t="inlineStr">
        <is>
          <t>04:02:19</t>
        </is>
      </c>
      <c r="E226" s="2" t="inlineStr">
        <is>
          <t>mayo</t>
        </is>
      </c>
      <c r="F226" s="2" t="n">
        <v>2026</v>
      </c>
      <c r="G226" s="3" t="inlineStr">
        <is>
          <t>LOS ANDES</t>
        </is>
      </c>
      <c r="H226" s="3" t="inlineStr">
        <is>
          <t>77970090-9/TRANSPORTES DONA ISIDORA (LABBE)</t>
        </is>
      </c>
      <c r="I226" s="3" t="inlineStr">
        <is>
          <t>BWPL16</t>
        </is>
      </c>
      <c r="J226" s="2" t="n">
        <v>1</v>
      </c>
      <c r="K226" s="3" t="inlineStr">
        <is>
          <t>LOS ANDES</t>
        </is>
      </c>
      <c r="L226" s="2" t="n">
        <v>1430</v>
      </c>
    </row>
    <row r="227">
      <c r="A227" s="4">
        <f>"119343"</f>
        <v/>
      </c>
      <c r="B227" s="4" t="inlineStr">
        <is>
          <t>HKOOB37084325</t>
        </is>
      </c>
      <c r="C227" s="4" t="inlineStr">
        <is>
          <t>20/05/2026</t>
        </is>
      </c>
      <c r="D227" s="4" t="inlineStr">
        <is>
          <t>04:26:47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82623500-4/IDEAL S.A</t>
        </is>
      </c>
      <c r="I227" s="5" t="inlineStr">
        <is>
          <t>RZVS88</t>
        </is>
      </c>
      <c r="J227" s="4" t="n">
        <v>1</v>
      </c>
      <c r="K227" s="5" t="inlineStr">
        <is>
          <t>VINA DEL MAR</t>
        </is>
      </c>
      <c r="L227" s="4" t="n">
        <v>1454</v>
      </c>
    </row>
    <row r="228">
      <c r="A228" s="2">
        <f>"119344"</f>
        <v/>
      </c>
      <c r="B228" s="2" t="inlineStr">
        <is>
          <t>HKOOB37084328</t>
        </is>
      </c>
      <c r="C228" s="2" t="inlineStr">
        <is>
          <t>20/05/2026</t>
        </is>
      </c>
      <c r="D228" s="2" t="inlineStr">
        <is>
          <t>04:43:37</t>
        </is>
      </c>
      <c r="E228" s="2" t="inlineStr">
        <is>
          <t>mayo</t>
        </is>
      </c>
      <c r="F228" s="2" t="n">
        <v>2026</v>
      </c>
      <c r="G228" s="3" t="inlineStr">
        <is>
          <t>VINA DEL MAR</t>
        </is>
      </c>
      <c r="H228" s="3" t="inlineStr">
        <is>
          <t>16575553-7/GABRIEL ALEJANDRO ESTAY CARRAZANA</t>
        </is>
      </c>
      <c r="I228" s="3" t="inlineStr">
        <is>
          <t>HVJX52</t>
        </is>
      </c>
      <c r="J228" s="2" t="n">
        <v>1</v>
      </c>
      <c r="K228" s="3" t="inlineStr">
        <is>
          <t>VINA DEL MAR</t>
        </is>
      </c>
      <c r="L228" s="2" t="n">
        <v>1440</v>
      </c>
    </row>
    <row r="229">
      <c r="A229" s="4">
        <f>"119345"</f>
        <v/>
      </c>
      <c r="B229" s="4" t="inlineStr">
        <is>
          <t>HKOOB37081590</t>
        </is>
      </c>
      <c r="C229" s="4" t="inlineStr">
        <is>
          <t>20/05/2026</t>
        </is>
      </c>
      <c r="D229" s="4" t="inlineStr">
        <is>
          <t>05:28:37</t>
        </is>
      </c>
      <c r="E229" s="4" t="inlineStr">
        <is>
          <t>mayo</t>
        </is>
      </c>
      <c r="F229" s="4" t="n">
        <v>2026</v>
      </c>
      <c r="G229" s="5" t="inlineStr">
        <is>
          <t>MELIPILLA</t>
        </is>
      </c>
      <c r="H229" s="5" t="inlineStr">
        <is>
          <t>77970090-9/TRANSPORTES DONA ISIDORA (LABBE)</t>
        </is>
      </c>
      <c r="I229" s="5" t="inlineStr">
        <is>
          <t>DHCX19</t>
        </is>
      </c>
      <c r="J229" s="4" t="n">
        <v>1</v>
      </c>
      <c r="K229" s="5" t="inlineStr">
        <is>
          <t>MELIPILLA</t>
        </is>
      </c>
      <c r="L229" s="4" t="n">
        <v>1787</v>
      </c>
    </row>
    <row r="230">
      <c r="A230" s="2">
        <f>"119346"</f>
        <v/>
      </c>
      <c r="B230" s="2" t="inlineStr">
        <is>
          <t>HKOOB37084364</t>
        </is>
      </c>
      <c r="C230" s="2" t="inlineStr">
        <is>
          <t>20/05/2026</t>
        </is>
      </c>
      <c r="D230" s="2" t="inlineStr">
        <is>
          <t>05:46:39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82623500-4/IDEAL S.A</t>
        </is>
      </c>
      <c r="I230" s="3" t="inlineStr">
        <is>
          <t>STJR25</t>
        </is>
      </c>
      <c r="J230" s="2" t="n">
        <v>1</v>
      </c>
      <c r="K230" s="3" t="inlineStr">
        <is>
          <t>RANCAGUA</t>
        </is>
      </c>
      <c r="L230" s="2" t="n">
        <v>1540</v>
      </c>
    </row>
    <row r="231">
      <c r="A231" s="4">
        <f>"119347"</f>
        <v/>
      </c>
      <c r="B231" s="4" t="inlineStr">
        <is>
          <t>HKOOB37084365</t>
        </is>
      </c>
      <c r="C231" s="4" t="inlineStr">
        <is>
          <t>20/05/2026</t>
        </is>
      </c>
      <c r="D231" s="4" t="inlineStr">
        <is>
          <t>06:05:05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76252773-1/GARATE Y GARATE LIMITADA</t>
        </is>
      </c>
      <c r="I231" s="5" t="inlineStr">
        <is>
          <t>DRPH69</t>
        </is>
      </c>
      <c r="J231" s="4" t="n">
        <v>1</v>
      </c>
      <c r="K231" s="5" t="inlineStr">
        <is>
          <t>RANCAGUA</t>
        </is>
      </c>
      <c r="L231" s="4" t="n">
        <v>1622</v>
      </c>
    </row>
    <row r="232">
      <c r="A232" s="2">
        <f>"119348"</f>
        <v/>
      </c>
      <c r="B232" s="2" t="inlineStr">
        <is>
          <t>HKOOB37081615</t>
        </is>
      </c>
      <c r="C232" s="2" t="inlineStr">
        <is>
          <t>20/05/2026</t>
        </is>
      </c>
      <c r="D232" s="2" t="inlineStr">
        <is>
          <t>06:40:39</t>
        </is>
      </c>
      <c r="E232" s="2" t="inlineStr">
        <is>
          <t>mayo</t>
        </is>
      </c>
      <c r="F232" s="2" t="n">
        <v>2026</v>
      </c>
      <c r="G232" s="3" t="inlineStr">
        <is>
          <t>OSORNO</t>
        </is>
      </c>
      <c r="H232" s="3" t="inlineStr">
        <is>
          <t>77636200-K/TRANSPORTES SAN GABRIEL LTDA.</t>
        </is>
      </c>
      <c r="I232" s="3" t="inlineStr">
        <is>
          <t>PFBS13</t>
        </is>
      </c>
      <c r="J232" s="2" t="n">
        <v>1</v>
      </c>
      <c r="K232" s="3" t="inlineStr">
        <is>
          <t>OSORNO</t>
        </is>
      </c>
      <c r="L232" s="2" t="n">
        <v>1687</v>
      </c>
    </row>
    <row r="233">
      <c r="A233" s="4">
        <f>"119349"</f>
        <v/>
      </c>
      <c r="B233" s="4" t="inlineStr">
        <is>
          <t>HKOOB37081612</t>
        </is>
      </c>
      <c r="C233" s="4" t="inlineStr">
        <is>
          <t>20/05/2026</t>
        </is>
      </c>
      <c r="D233" s="4" t="inlineStr">
        <is>
          <t>06:54:18</t>
        </is>
      </c>
      <c r="E233" s="4" t="inlineStr">
        <is>
          <t>mayo</t>
        </is>
      </c>
      <c r="F233" s="4" t="n">
        <v>2026</v>
      </c>
      <c r="G233" s="5" t="inlineStr">
        <is>
          <t>VALDIVIA</t>
        </is>
      </c>
      <c r="H233" s="5" t="inlineStr">
        <is>
          <t>77636200-K/TRANSPORTES SAN GABRIEL LTDA.</t>
        </is>
      </c>
      <c r="I233" s="5" t="inlineStr">
        <is>
          <t>LCTB56</t>
        </is>
      </c>
      <c r="J233" s="4" t="n">
        <v>1</v>
      </c>
      <c r="K233" s="5" t="inlineStr">
        <is>
          <t>VALDIVIA</t>
        </is>
      </c>
      <c r="L233" s="4" t="n">
        <v>2019</v>
      </c>
    </row>
    <row r="234">
      <c r="A234" s="2">
        <f>"119350"</f>
        <v/>
      </c>
      <c r="B234" s="2" t="inlineStr">
        <is>
          <t>HKOOB37081599</t>
        </is>
      </c>
      <c r="C234" s="2" t="inlineStr">
        <is>
          <t>20/05/2026</t>
        </is>
      </c>
      <c r="D234" s="2" t="inlineStr">
        <is>
          <t>08:31:59</t>
        </is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3" t="inlineStr">
        <is>
          <t>PJJV10</t>
        </is>
      </c>
      <c r="J234" s="2" t="n">
        <v>1</v>
      </c>
      <c r="K234" s="3" t="inlineStr">
        <is>
          <t>LOS ANGELES</t>
        </is>
      </c>
      <c r="L234" s="2" t="n">
        <v>1483</v>
      </c>
    </row>
    <row r="235">
      <c r="A235" s="4">
        <f>"39011"</f>
        <v/>
      </c>
      <c r="B235" s="4" t="inlineStr">
        <is>
          <t>HKOOB37084226</t>
        </is>
      </c>
      <c r="C235" s="4" t="inlineStr">
        <is>
          <t>20/05/2026</t>
        </is>
      </c>
      <c r="D235" s="4" t="inlineStr">
        <is>
          <t>08:58:25</t>
        </is>
      </c>
      <c r="E235" s="4" t="inlineStr">
        <is>
          <t>mayo</t>
        </is>
      </c>
      <c r="F235" s="4" t="n">
        <v>2026</v>
      </c>
      <c r="G235" s="5" t="inlineStr">
        <is>
          <t>LO ESPEJO</t>
        </is>
      </c>
      <c r="H235" s="5" t="inlineStr">
        <is>
          <t>82623500-4/IDEAL S.A</t>
        </is>
      </c>
      <c r="I235" s="5" t="inlineStr">
        <is>
          <t>DBLS59</t>
        </is>
      </c>
      <c r="J235" s="4" t="n">
        <v>1</v>
      </c>
      <c r="K235" s="5" t="inlineStr">
        <is>
          <t>LO ESPEJO</t>
        </is>
      </c>
      <c r="L235" s="4" t="n">
        <v>1308</v>
      </c>
    </row>
    <row r="236">
      <c r="A236" s="2">
        <f>"119351"</f>
        <v/>
      </c>
      <c r="B236" s="2" t="inlineStr">
        <is>
          <t>HKOOB37084361</t>
        </is>
      </c>
      <c r="C236" s="2" t="inlineStr">
        <is>
          <t>20/05/2026</t>
        </is>
      </c>
      <c r="D236" s="2" t="inlineStr">
        <is>
          <t>10:25:20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77636200-K/TRANSPORTES SAN GABRIEL LTDA.</t>
        </is>
      </c>
      <c r="I236" s="3" t="inlineStr">
        <is>
          <t>PJJV11</t>
        </is>
      </c>
      <c r="J236" s="2" t="n">
        <v>1</v>
      </c>
      <c r="K236" s="3" t="inlineStr">
        <is>
          <t>ANTOFAGASTA</t>
        </is>
      </c>
      <c r="L236" s="2" t="n">
        <v>1844</v>
      </c>
    </row>
    <row r="237">
      <c r="A237" s="4">
        <f>"39022"</f>
        <v/>
      </c>
      <c r="B237" s="4" t="inlineStr">
        <is>
          <t>HKOOB37084302</t>
        </is>
      </c>
      <c r="C237" s="4" t="inlineStr">
        <is>
          <t>20/05/2026</t>
        </is>
      </c>
      <c r="D237" s="4" t="inlineStr">
        <is>
          <t>10:41:26</t>
        </is>
      </c>
      <c r="E237" s="4" t="inlineStr">
        <is>
          <t>mayo</t>
        </is>
      </c>
      <c r="F237" s="4" t="n">
        <v>2026</v>
      </c>
      <c r="G237" s="5" t="inlineStr">
        <is>
          <t>EL PINAR</t>
        </is>
      </c>
      <c r="H237" s="5" t="inlineStr">
        <is>
          <t>82623500-4/IDEAL S.A</t>
        </is>
      </c>
      <c r="I237" s="5" t="inlineStr">
        <is>
          <t>TVTD89</t>
        </is>
      </c>
      <c r="J237" s="4" t="n">
        <v>1</v>
      </c>
      <c r="K237" s="5" t="inlineStr">
        <is>
          <t>EL PINAR</t>
        </is>
      </c>
      <c r="L237" s="4" t="n">
        <v>1202</v>
      </c>
    </row>
    <row r="238">
      <c r="A238" s="2">
        <f>"39026"</f>
        <v/>
      </c>
      <c r="B238" s="2" t="inlineStr">
        <is>
          <t>HKOOB37084227</t>
        </is>
      </c>
      <c r="C238" s="2" t="inlineStr">
        <is>
          <t>20/05/2026</t>
        </is>
      </c>
      <c r="D238" s="2" t="inlineStr">
        <is>
          <t>11:02:59</t>
        </is>
      </c>
      <c r="E238" s="2" t="inlineStr">
        <is>
          <t>mayo</t>
        </is>
      </c>
      <c r="F238" s="2" t="n">
        <v>2026</v>
      </c>
      <c r="G238" s="3" t="inlineStr">
        <is>
          <t>LO ESPEJO</t>
        </is>
      </c>
      <c r="H238" s="3" t="inlineStr">
        <is>
          <t>82623500-4/IDEAL S.A</t>
        </is>
      </c>
      <c r="I238" s="3" t="inlineStr">
        <is>
          <t>DBLS59</t>
        </is>
      </c>
      <c r="J238" s="2" t="n">
        <v>1</v>
      </c>
      <c r="K238" s="3" t="inlineStr">
        <is>
          <t>LO ESPEJO</t>
        </is>
      </c>
      <c r="L238" s="2" t="n">
        <v>1185</v>
      </c>
    </row>
    <row r="239">
      <c r="A239" s="4">
        <f>"119352"</f>
        <v/>
      </c>
      <c r="B239" s="4" t="inlineStr">
        <is>
          <t>HKOOB37081602</t>
        </is>
      </c>
      <c r="C239" s="4" t="inlineStr">
        <is>
          <t>20/05/2026</t>
        </is>
      </c>
      <c r="D239" s="4" t="inlineStr">
        <is>
          <t>12:08:42</t>
        </is>
      </c>
      <c r="E239" s="4" t="inlineStr">
        <is>
          <t>mayo</t>
        </is>
      </c>
      <c r="F239" s="4" t="n">
        <v>2026</v>
      </c>
      <c r="G239" s="5" t="inlineStr">
        <is>
          <t>TEMUCO</t>
        </is>
      </c>
      <c r="H239" s="5" t="inlineStr">
        <is>
          <t>77636200-K/TRANSPORTES SAN GABRIEL LTDA.</t>
        </is>
      </c>
      <c r="I239" s="5" t="inlineStr">
        <is>
          <t>JKDX72</t>
        </is>
      </c>
      <c r="J239" s="4" t="n">
        <v>1</v>
      </c>
      <c r="K239" s="5" t="inlineStr">
        <is>
          <t>TEMUCO</t>
        </is>
      </c>
      <c r="L239" s="4" t="n">
        <v>1631</v>
      </c>
    </row>
    <row r="240">
      <c r="A240" s="2">
        <f>"39039"</f>
        <v/>
      </c>
      <c r="B240" s="2" t="inlineStr">
        <is>
          <t>HKOOB37084228</t>
        </is>
      </c>
      <c r="C240" s="2" t="inlineStr">
        <is>
          <t>20/05/2026</t>
        </is>
      </c>
      <c r="D240" s="2" t="inlineStr">
        <is>
          <t>12:39:30</t>
        </is>
      </c>
      <c r="E240" s="2" t="inlineStr">
        <is>
          <t>mayo</t>
        </is>
      </c>
      <c r="F240" s="2" t="n">
        <v>2026</v>
      </c>
      <c r="G240" s="3" t="inlineStr">
        <is>
          <t>LO ESPEJO</t>
        </is>
      </c>
      <c r="H240" s="3" t="inlineStr">
        <is>
          <t>82623500-4/IDEAL S.A</t>
        </is>
      </c>
      <c r="I240" s="3" t="inlineStr">
        <is>
          <t>TVTD89</t>
        </is>
      </c>
      <c r="J240" s="2" t="n">
        <v>1</v>
      </c>
      <c r="K240" s="3" t="inlineStr">
        <is>
          <t>LO ESPEJO</t>
        </is>
      </c>
      <c r="L240" s="2" t="n">
        <v>1188</v>
      </c>
    </row>
    <row r="241">
      <c r="A241" s="4">
        <f>"119353"</f>
        <v/>
      </c>
      <c r="B241" s="4" t="inlineStr">
        <is>
          <t>HKOOB37081610</t>
        </is>
      </c>
      <c r="C241" s="4" t="inlineStr">
        <is>
          <t>20/05/2026</t>
        </is>
      </c>
      <c r="D241" s="4" t="inlineStr">
        <is>
          <t>12:57:25</t>
        </is>
      </c>
      <c r="E241" s="4" t="inlineStr">
        <is>
          <t>mayo</t>
        </is>
      </c>
      <c r="F241" s="4" t="n">
        <v>2026</v>
      </c>
      <c r="G241" s="5" t="inlineStr">
        <is>
          <t>TALCA</t>
        </is>
      </c>
      <c r="H241" s="5" t="inlineStr">
        <is>
          <t>77636200-K/TRANSPORTES SAN GABRIEL LTDA.</t>
        </is>
      </c>
      <c r="I241" s="5" t="inlineStr">
        <is>
          <t>SVLV52</t>
        </is>
      </c>
      <c r="J241" s="4" t="n">
        <v>1</v>
      </c>
      <c r="K241" s="5" t="inlineStr">
        <is>
          <t>TALCA</t>
        </is>
      </c>
      <c r="L241" s="4" t="n">
        <v>1610</v>
      </c>
    </row>
    <row r="242">
      <c r="A242" s="2">
        <f>"119354"</f>
        <v/>
      </c>
      <c r="B242" s="2" t="inlineStr">
        <is>
          <t>HKOOB37081620</t>
        </is>
      </c>
      <c r="C242" s="2" t="inlineStr">
        <is>
          <t>20/05/2026</t>
        </is>
      </c>
      <c r="D242" s="2" t="inlineStr">
        <is>
          <t>13:28:22</t>
        </is>
      </c>
      <c r="E242" s="2" t="inlineStr">
        <is>
          <t>mayo</t>
        </is>
      </c>
      <c r="F242" s="2" t="n">
        <v>2026</v>
      </c>
      <c r="G242" s="3" t="inlineStr">
        <is>
          <t>COPIAPO</t>
        </is>
      </c>
      <c r="H242" s="3" t="inlineStr">
        <is>
          <t>77636200-K/TRANSPORTES SAN GABRIEL LTDA.</t>
        </is>
      </c>
      <c r="I242" s="3" t="inlineStr">
        <is>
          <t>PJJV11</t>
        </is>
      </c>
      <c r="J242" s="2" t="n">
        <v>1</v>
      </c>
      <c r="K242" s="3" t="inlineStr">
        <is>
          <t>COPIAPO</t>
        </is>
      </c>
      <c r="L242" s="2" t="n">
        <v>1999</v>
      </c>
    </row>
    <row r="243">
      <c r="A243" s="4">
        <f>"39044"</f>
        <v/>
      </c>
      <c r="B243" s="4" t="inlineStr">
        <is>
          <t>HKOOB37084229</t>
        </is>
      </c>
      <c r="C243" s="4" t="inlineStr">
        <is>
          <t>20/05/2026</t>
        </is>
      </c>
      <c r="D243" s="4" t="inlineStr">
        <is>
          <t>13:53:05</t>
        </is>
      </c>
      <c r="E243" s="4" t="inlineStr">
        <is>
          <t>mayo</t>
        </is>
      </c>
      <c r="F243" s="4" t="n">
        <v>2026</v>
      </c>
      <c r="G243" s="5" t="inlineStr">
        <is>
          <t>LO ESPEJO</t>
        </is>
      </c>
      <c r="H243" s="5" t="inlineStr">
        <is>
          <t>82623500-4/IDEAL S.A</t>
        </is>
      </c>
      <c r="I243" s="5" t="inlineStr">
        <is>
          <t>RZVS88</t>
        </is>
      </c>
      <c r="J243" s="4" t="n">
        <v>1</v>
      </c>
      <c r="K243" s="5" t="inlineStr">
        <is>
          <t>LO ESPEJO</t>
        </is>
      </c>
      <c r="L243" s="4" t="n">
        <v>1384</v>
      </c>
    </row>
    <row r="244">
      <c r="A244" s="2">
        <f>"119355"</f>
        <v/>
      </c>
      <c r="B244" s="2" t="inlineStr">
        <is>
          <t>HKOOB37084362</t>
        </is>
      </c>
      <c r="C244" s="2" t="inlineStr">
        <is>
          <t>20/05/2026</t>
        </is>
      </c>
      <c r="D244" s="2" t="inlineStr">
        <is>
          <t>16:22:49</t>
        </is>
      </c>
      <c r="E244" s="2" t="inlineStr">
        <is>
          <t>mayo</t>
        </is>
      </c>
      <c r="F244" s="2" t="n">
        <v>2026</v>
      </c>
      <c r="G244" s="3" t="inlineStr">
        <is>
          <t>ANTOFAGASTA</t>
        </is>
      </c>
      <c r="H244" s="3" t="inlineStr">
        <is>
          <t>76746317-0/TRAILER LOGISTICS SPA</t>
        </is>
      </c>
      <c r="I244" s="3" t="inlineStr">
        <is>
          <t>VJWL65</t>
        </is>
      </c>
      <c r="J244" s="2" t="n">
        <v>1</v>
      </c>
      <c r="K244" s="3" t="inlineStr">
        <is>
          <t>ANTOFAGASTA</t>
        </is>
      </c>
      <c r="L244" s="2" t="n">
        <v>2073</v>
      </c>
    </row>
    <row r="245">
      <c r="A245" s="4">
        <f>"119313"</f>
        <v/>
      </c>
      <c r="B245" s="4" t="inlineStr">
        <is>
          <t>HKOOB37081606</t>
        </is>
      </c>
      <c r="C245" s="4" t="inlineStr">
        <is>
          <t>20/05/2026</t>
        </is>
      </c>
      <c r="D245" s="4" t="inlineStr">
        <is>
          <t>17:18:27</t>
        </is>
      </c>
      <c r="E245" s="4" t="inlineStr">
        <is>
          <t>mayo</t>
        </is>
      </c>
      <c r="F245" s="4" t="n">
        <v>2026</v>
      </c>
      <c r="G245" s="5" t="inlineStr">
        <is>
          <t>LA SERENA</t>
        </is>
      </c>
      <c r="H245" s="5" t="inlineStr">
        <is>
          <t>16575553-7/GABRIEL ALEJANDRO ESTAY CARRAZANA</t>
        </is>
      </c>
      <c r="I245" s="5" t="inlineStr">
        <is>
          <t>HVJX52</t>
        </is>
      </c>
      <c r="J245" s="4" t="n">
        <v>1</v>
      </c>
      <c r="K245" s="5" t="inlineStr">
        <is>
          <t>LA SERENA</t>
        </is>
      </c>
      <c r="L245" s="4" t="n">
        <v>1879</v>
      </c>
    </row>
    <row r="246">
      <c r="A246" s="2">
        <f>"39055"</f>
        <v/>
      </c>
      <c r="B246" s="2" t="inlineStr">
        <is>
          <t>HKOOB37075692</t>
        </is>
      </c>
      <c r="C246" s="2" t="inlineStr">
        <is>
          <t>20/05/2026</t>
        </is>
      </c>
      <c r="D246" s="2" t="inlineStr">
        <is>
          <t>17:30:33</t>
        </is>
      </c>
      <c r="E246" s="2" t="inlineStr">
        <is>
          <t>mayo</t>
        </is>
      </c>
      <c r="F246" s="2" t="n">
        <v>2026</v>
      </c>
      <c r="G246" s="3" t="inlineStr">
        <is>
          <t>LO ESPEJO</t>
        </is>
      </c>
      <c r="H246" s="3" t="inlineStr">
        <is>
          <t>82623500-4/IDEAL S.A</t>
        </is>
      </c>
      <c r="I246" s="3" t="inlineStr">
        <is>
          <t>STJR25</t>
        </is>
      </c>
      <c r="J246" s="2" t="n">
        <v>1</v>
      </c>
      <c r="K246" s="3" t="inlineStr">
        <is>
          <t>LO ESPEJO</t>
        </is>
      </c>
      <c r="L246" s="2" t="n">
        <v>1440</v>
      </c>
    </row>
    <row r="247">
      <c r="A247" s="4">
        <f>"119356"</f>
        <v/>
      </c>
      <c r="B247" s="4" t="inlineStr">
        <is>
          <t>HKOOB37081605</t>
        </is>
      </c>
      <c r="C247" s="4" t="inlineStr">
        <is>
          <t>20/05/2026</t>
        </is>
      </c>
      <c r="D247" s="4" t="inlineStr">
        <is>
          <t>17:41:15</t>
        </is>
      </c>
      <c r="E247" s="4" t="inlineStr">
        <is>
          <t>mayo</t>
        </is>
      </c>
      <c r="F247" s="4" t="n">
        <v>2026</v>
      </c>
      <c r="G247" s="5" t="inlineStr">
        <is>
          <t>CONCEPCION</t>
        </is>
      </c>
      <c r="H247" s="5" t="inlineStr">
        <is>
          <t>77636200-K/TRANSPORTES SAN GABRIEL LTDA.</t>
        </is>
      </c>
      <c r="I247" s="5" t="inlineStr">
        <is>
          <t>LTGY82</t>
        </is>
      </c>
      <c r="J247" s="4" t="n">
        <v>1</v>
      </c>
      <c r="K247" s="5" t="inlineStr">
        <is>
          <t>CONCEPCION</t>
        </is>
      </c>
      <c r="L247" s="4" t="n">
        <v>1684</v>
      </c>
    </row>
    <row r="248">
      <c r="A248" s="2">
        <f>"39058"</f>
        <v/>
      </c>
      <c r="B248" s="2" t="inlineStr">
        <is>
          <t>HKOOB37075693</t>
        </is>
      </c>
      <c r="C248" s="2" t="inlineStr">
        <is>
          <t>20/05/2026</t>
        </is>
      </c>
      <c r="D248" s="2" t="inlineStr">
        <is>
          <t>18:19:07</t>
        </is>
      </c>
      <c r="E248" s="2" t="inlineStr">
        <is>
          <t>mayo</t>
        </is>
      </c>
      <c r="F248" s="2" t="n">
        <v>2026</v>
      </c>
      <c r="G248" s="3" t="inlineStr">
        <is>
          <t>LO ESPEJO</t>
        </is>
      </c>
      <c r="H248" s="3" t="inlineStr">
        <is>
          <t>82623500-4/IDEAL S.A</t>
        </is>
      </c>
      <c r="I248" s="3" t="inlineStr">
        <is>
          <t>STJR25</t>
        </is>
      </c>
      <c r="J248" s="2" t="n">
        <v>1</v>
      </c>
      <c r="K248" s="3" t="inlineStr">
        <is>
          <t>LO ESPEJO</t>
        </is>
      </c>
      <c r="L248" s="2" t="n">
        <v>1229</v>
      </c>
    </row>
    <row r="249">
      <c r="A249" s="4">
        <f>"39060"</f>
        <v/>
      </c>
      <c r="B249" s="4" t="inlineStr">
        <is>
          <t>HKOOB37084303</t>
        </is>
      </c>
      <c r="C249" s="4" t="inlineStr">
        <is>
          <t>20/05/2026</t>
        </is>
      </c>
      <c r="D249" s="4" t="inlineStr">
        <is>
          <t>18:40:57</t>
        </is>
      </c>
      <c r="E249" s="4" t="inlineStr">
        <is>
          <t>mayo</t>
        </is>
      </c>
      <c r="F249" s="4" t="n">
        <v>2026</v>
      </c>
      <c r="G249" s="5" t="inlineStr">
        <is>
          <t>EL PINAR</t>
        </is>
      </c>
      <c r="H249" s="5" t="inlineStr">
        <is>
          <t>82623500-4/IDEAL S.A</t>
        </is>
      </c>
      <c r="I249" s="5" t="inlineStr">
        <is>
          <t>TVTD89</t>
        </is>
      </c>
      <c r="J249" s="4" t="n">
        <v>1</v>
      </c>
      <c r="K249" s="5" t="inlineStr">
        <is>
          <t>EL PINAR</t>
        </is>
      </c>
      <c r="L249" s="4" t="n">
        <v>398</v>
      </c>
    </row>
    <row r="250">
      <c r="A250" s="2">
        <f>"119357"</f>
        <v/>
      </c>
      <c r="B250" s="2" t="inlineStr">
        <is>
          <t>HKOOB37081598</t>
        </is>
      </c>
      <c r="C250" s="2" t="inlineStr">
        <is>
          <t>20/05/2026</t>
        </is>
      </c>
      <c r="D250" s="2" t="inlineStr">
        <is>
          <t>18:55:36</t>
        </is>
      </c>
      <c r="E250" s="2" t="inlineStr">
        <is>
          <t>mayo</t>
        </is>
      </c>
      <c r="F250" s="2" t="n">
        <v>2026</v>
      </c>
      <c r="G250" s="3" t="inlineStr">
        <is>
          <t>CHILLAN</t>
        </is>
      </c>
      <c r="H250" s="3" t="inlineStr">
        <is>
          <t>77636200-K/TRANSPORTES SAN GABRIEL LTDA.</t>
        </is>
      </c>
      <c r="I250" s="3" t="inlineStr">
        <is>
          <t>RFZY99</t>
        </is>
      </c>
      <c r="J250" s="2" t="n">
        <v>1</v>
      </c>
      <c r="K250" s="3" t="inlineStr">
        <is>
          <t>CHILLAN</t>
        </is>
      </c>
      <c r="L250" s="2" t="n">
        <v>1687</v>
      </c>
    </row>
    <row r="251">
      <c r="A251" s="4">
        <f>"119359"</f>
        <v/>
      </c>
      <c r="B251" s="4" t="inlineStr">
        <is>
          <t>HKOOB37084330</t>
        </is>
      </c>
      <c r="C251" s="4" t="inlineStr">
        <is>
          <t>20/05/2026</t>
        </is>
      </c>
      <c r="D251" s="4" t="inlineStr">
        <is>
          <t>19:25:39</t>
        </is>
      </c>
      <c r="E251" s="4" t="inlineStr">
        <is>
          <t>mayo</t>
        </is>
      </c>
      <c r="F251" s="4" t="n">
        <v>2026</v>
      </c>
      <c r="G251" s="5" t="inlineStr">
        <is>
          <t>VINA DEL MAR</t>
        </is>
      </c>
      <c r="H251" s="5" t="inlineStr">
        <is>
          <t>82623500-4/IDEAL S.A</t>
        </is>
      </c>
      <c r="I251" s="5" t="inlineStr">
        <is>
          <t>STJR25</t>
        </is>
      </c>
      <c r="J251" s="4" t="n">
        <v>1</v>
      </c>
      <c r="K251" s="5" t="inlineStr">
        <is>
          <t>VINA DEL MAR</t>
        </is>
      </c>
      <c r="L251" s="4" t="n">
        <v>1703</v>
      </c>
    </row>
    <row r="252">
      <c r="A252" s="2">
        <f>"119358"</f>
        <v/>
      </c>
      <c r="B252" s="2" t="inlineStr">
        <is>
          <t>HKOOB37081608</t>
        </is>
      </c>
      <c r="C252" s="2" t="inlineStr">
        <is>
          <t>20/05/2026</t>
        </is>
      </c>
      <c r="D252" s="2" t="inlineStr">
        <is>
          <t>19:46:39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SVLV43</t>
        </is>
      </c>
      <c r="J252" s="2" t="n">
        <v>1</v>
      </c>
      <c r="K252" s="3" t="inlineStr">
        <is>
          <t>TALCA</t>
        </is>
      </c>
      <c r="L252" s="2" t="n">
        <v>1593</v>
      </c>
    </row>
  </sheetData>
  <autoFilter ref="A1:L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2026-05-20T23:56:42Z</dcterms:created>
  <dcterms:modified xsi:type="dcterms:W3CDTF">2026-05-20T23:56:43Z</dcterms:modified>
</cp:coreProperties>
</file>