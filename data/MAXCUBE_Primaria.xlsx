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"119269"</f>
        <v/>
      </c>
      <c r="B240" s="2" t="inlineStr">
        <is>
          <t>HKOOB37058564</t>
        </is>
      </c>
      <c r="C240" s="2" t="inlineStr">
        <is>
          <t>15/05/2026</t>
        </is>
      </c>
      <c r="D240" s="2" t="inlineStr">
        <is>
          <t>18:22:16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1684</v>
      </c>
    </row>
    <row r="241">
      <c r="A241" s="4">
        <f>"119266"</f>
        <v/>
      </c>
      <c r="B241" s="4" t="inlineStr">
        <is>
          <t>HKOOB37058751</t>
        </is>
      </c>
      <c r="C241" s="4" t="inlineStr">
        <is>
          <t>15/05/2026</t>
        </is>
      </c>
      <c r="D241" s="4" t="inlineStr">
        <is>
          <t>19:59:49</t>
        </is>
      </c>
      <c r="E241" s="4" t="inlineStr">
        <is>
          <t>mayo</t>
        </is>
      </c>
      <c r="F241" s="4" t="n">
        <v>2026</v>
      </c>
      <c r="G241" s="5" t="inlineStr">
        <is>
          <t>VINA DEL MAR</t>
        </is>
      </c>
      <c r="H241" s="5" t="inlineStr">
        <is>
          <t>16575553-7/GABRIEL ALEJANDRO ESTAY CARRAZANA</t>
        </is>
      </c>
      <c r="I241" s="4" t="n">
        <v>1</v>
      </c>
      <c r="J241" s="5" t="inlineStr">
        <is>
          <t>VINA DEL MAR</t>
        </is>
      </c>
      <c r="K241" s="4" t="n">
        <v>1669</v>
      </c>
    </row>
    <row r="242">
      <c r="A242" s="2">
        <f>"119267"</f>
        <v/>
      </c>
      <c r="B242" s="2" t="inlineStr">
        <is>
          <t>HKOOB37058560</t>
        </is>
      </c>
      <c r="C242" s="2" t="inlineStr">
        <is>
          <t>15/05/2026</t>
        </is>
      </c>
      <c r="D242" s="2" t="inlineStr">
        <is>
          <t>20:43:28</t>
        </is>
      </c>
      <c r="E242" s="2" t="inlineStr">
        <is>
          <t>mayo</t>
        </is>
      </c>
      <c r="F242" s="2" t="n">
        <v>2026</v>
      </c>
      <c r="G242" s="3" t="inlineStr">
        <is>
          <t>CHILLAN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</t>
        </is>
      </c>
      <c r="K242" s="2" t="n">
        <v>1866</v>
      </c>
    </row>
    <row r="243">
      <c r="A243" s="4">
        <f>"119268"</f>
        <v/>
      </c>
      <c r="B243" s="4" t="inlineStr">
        <is>
          <t>HKOOB37058540</t>
        </is>
      </c>
      <c r="C243" s="4" t="inlineStr">
        <is>
          <t>15/05/2026</t>
        </is>
      </c>
      <c r="D243" s="4" t="inlineStr">
        <is>
          <t>21:30:23</t>
        </is>
      </c>
      <c r="E243" s="4" t="inlineStr">
        <is>
          <t>mayo</t>
        </is>
      </c>
      <c r="F243" s="4" t="n">
        <v>2026</v>
      </c>
      <c r="G243" s="5" t="inlineStr">
        <is>
          <t>CONCEPCION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CONCEPCION</t>
        </is>
      </c>
      <c r="K243" s="4" t="n">
        <v>2040</v>
      </c>
    </row>
    <row r="244">
      <c r="A244" s="2">
        <f>"38527"</f>
        <v/>
      </c>
      <c r="B244" s="2" t="inlineStr">
        <is>
          <t>HKOOB37063767</t>
        </is>
      </c>
      <c r="C244" s="2" t="inlineStr">
        <is>
          <t>15/05/2026</t>
        </is>
      </c>
      <c r="D244" s="2" t="inlineStr">
        <is>
          <t>22:26:25</t>
        </is>
      </c>
      <c r="E244" s="2" t="inlineStr">
        <is>
          <t>mayo</t>
        </is>
      </c>
      <c r="F244" s="2" t="n">
        <v>2026</v>
      </c>
      <c r="G244" s="3" t="inlineStr">
        <is>
          <t>LO ESPEJO</t>
        </is>
      </c>
      <c r="H244" s="3" t="inlineStr">
        <is>
          <t>SIN PROVEEDOR</t>
        </is>
      </c>
      <c r="I244" s="2" t="n">
        <v>1</v>
      </c>
      <c r="J244" s="3" t="inlineStr">
        <is>
          <t>LO ESPEJO</t>
        </is>
      </c>
      <c r="K244" s="2" t="n">
        <v>1342</v>
      </c>
    </row>
    <row r="245">
      <c r="A245" s="4">
        <f>"38528"</f>
        <v/>
      </c>
      <c r="B245" s="4" t="inlineStr">
        <is>
          <t>HKOOB37058742</t>
        </is>
      </c>
      <c r="C245" s="4" t="inlineStr">
        <is>
          <t>15/05/2026</t>
        </is>
      </c>
      <c r="D245" s="4" t="inlineStr">
        <is>
          <t>23:00:34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SIN PROVEEDOR</t>
        </is>
      </c>
      <c r="I245" s="4" t="n">
        <v>1</v>
      </c>
      <c r="J245" s="5" t="inlineStr">
        <is>
          <t>LO ESPEJO</t>
        </is>
      </c>
      <c r="K245" s="4" t="n">
        <v>1342</v>
      </c>
    </row>
    <row r="246">
      <c r="A246" s="2">
        <f>"119087"</f>
        <v/>
      </c>
      <c r="B246" s="2" t="inlineStr">
        <is>
          <t>CHKO372924 / HKOOB36982949</t>
        </is>
      </c>
      <c r="C246" s="2" t="inlineStr">
        <is>
          <t>06/05/2026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RUTA SOLITARIA ELPAC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PTO MONTT / RUTA SOLITARIA ELPAC</t>
        </is>
      </c>
      <c r="K246" s="2" t="n">
        <v>1868</v>
      </c>
    </row>
    <row r="247">
      <c r="A247" s="4">
        <f>"119112"</f>
        <v/>
      </c>
      <c r="B247" s="4" t="inlineStr">
        <is>
          <t>HKOOB36994400 / HKOOB36994408</t>
        </is>
      </c>
      <c r="C247" s="4" t="inlineStr">
        <is>
          <t>07/05/2026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PTO MONTT / VALDIVIA</t>
        </is>
      </c>
      <c r="K247" s="4" t="n">
        <v>1247</v>
      </c>
    </row>
    <row r="248">
      <c r="A248" s="2">
        <f>"119113"</f>
        <v/>
      </c>
      <c r="B248" s="2" t="inlineStr">
        <is>
          <t>CHKO373144 / HKOOB36991739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CHILLAN / TALCA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CHILLAN / TALCA</t>
        </is>
      </c>
      <c r="K248" s="2" t="n">
        <v>1626</v>
      </c>
    </row>
    <row r="249">
      <c r="A249" s="4">
        <f>"119118"</f>
        <v/>
      </c>
      <c r="B249" s="4" t="inlineStr">
        <is>
          <t>CHKO373029 / CHKO373166 / HKOOB36991777</t>
        </is>
      </c>
      <c r="C249" s="4" t="inlineStr">
        <is>
          <t>07/05/2026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LA SERENA / RUTA SOLITARIA 1059 LV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LA SERENA / RUTA SOLITARIA 1059 LV</t>
        </is>
      </c>
      <c r="K249" s="4" t="n">
        <v>1570</v>
      </c>
    </row>
    <row r="250">
      <c r="A250" s="2">
        <f>"119142"</f>
        <v/>
      </c>
      <c r="B250" s="2" t="inlineStr">
        <is>
          <t>CHKO373309 / CHKO373325 / HKOOB36985272</t>
        </is>
      </c>
      <c r="C250" s="2" t="inlineStr">
        <is>
          <t>08/05/2026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ANTOFAGASTA / ARICA</t>
        </is>
      </c>
      <c r="H250" s="3" t="inlineStr">
        <is>
          <t>77970090-9/TRANSPORTES DONA ISIDORA (LABBE)</t>
        </is>
      </c>
      <c r="I250" s="2" t="n">
        <v>1</v>
      </c>
      <c r="J250" s="3" t="inlineStr">
        <is>
          <t>ANTOFAGASTA / ARICA</t>
        </is>
      </c>
      <c r="K250" s="2" t="n">
        <v>1716</v>
      </c>
    </row>
    <row r="251">
      <c r="A251" s="4">
        <f>"119173"</f>
        <v/>
      </c>
      <c r="B251" s="4" t="inlineStr">
        <is>
          <t>CHKO373624 / HKOOB37011942</t>
        </is>
      </c>
      <c r="C251" s="4" t="inlineStr">
        <is>
          <t>11/05/2026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1664</v>
      </c>
    </row>
    <row r="252">
      <c r="A252" s="2">
        <f>"119195"</f>
        <v/>
      </c>
      <c r="B252" s="2" t="inlineStr">
        <is>
          <t>CHKO373384 / HKOOB37037365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1786</v>
      </c>
    </row>
    <row r="253">
      <c r="A253" s="4">
        <f>"119212"</f>
        <v/>
      </c>
      <c r="B253" s="4" t="inlineStr">
        <is>
          <t>CHKO373745 / HKOOB37043861</t>
        </is>
      </c>
      <c r="C253" s="4" t="inlineStr">
        <is>
          <t>13/05/2026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PTO MONTT / RUTA SOLITARIA ELPAC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PTO MONTT / RUTA SOLITARIA ELPAC</t>
        </is>
      </c>
      <c r="K253" s="4" t="n">
        <v>1739</v>
      </c>
    </row>
    <row r="254">
      <c r="A254" s="2">
        <f>"119239"</f>
        <v/>
      </c>
      <c r="B254" s="2" t="inlineStr">
        <is>
          <t>CHKO373825 / CHKO373844</t>
        </is>
      </c>
      <c r="C254" s="2" t="inlineStr">
        <is>
          <t>14/05/2026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VALDIVIA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VALDIVIA</t>
        </is>
      </c>
      <c r="K254" s="2" t="n">
        <v>1679</v>
      </c>
    </row>
    <row r="255">
      <c r="A255" s="4">
        <f>"119243"</f>
        <v/>
      </c>
      <c r="B255" s="4" t="inlineStr">
        <is>
          <t>CHKO373749 / CHKO373845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SAN FERNANDO / TALCA</t>
        </is>
      </c>
      <c r="H255" s="5" t="inlineStr">
        <is>
          <t>76252773-1/GARATE Y GARATE LIMITADA</t>
        </is>
      </c>
      <c r="I255" s="4" t="n">
        <v>1</v>
      </c>
      <c r="J255" s="5" t="inlineStr">
        <is>
          <t>SAN FERNANDO / TALCA</t>
        </is>
      </c>
      <c r="K255" s="4" t="n">
        <v>1627</v>
      </c>
    </row>
    <row r="256">
      <c r="A256" s="2">
        <f>"119255"</f>
        <v/>
      </c>
      <c r="B256" s="2" t="inlineStr">
        <is>
          <t>CHKO373695 / CHKO373826</t>
        </is>
      </c>
      <c r="C256" s="2" t="inlineStr">
        <is>
          <t>15/05/2026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LOS ANGELES / TEMUCO</t>
        </is>
      </c>
      <c r="H256" s="3" t="inlineStr">
        <is>
          <t>77636200-K/TRANSPORTES SAN GABRIEL LTDA.</t>
        </is>
      </c>
      <c r="I256" s="2" t="n">
        <v>1</v>
      </c>
      <c r="J256" s="3" t="inlineStr">
        <is>
          <t>LOS ANGELES / TEMUCO</t>
        </is>
      </c>
      <c r="K256" s="2" t="n">
        <v>1532</v>
      </c>
    </row>
    <row r="257">
      <c r="A257" s="4">
        <f>"119258"</f>
        <v/>
      </c>
      <c r="B257" s="4" t="inlineStr">
        <is>
          <t>CHKO373754 / CHKO373867 / CHKO373905</t>
        </is>
      </c>
      <c r="C257" s="4" t="inlineStr">
        <is>
          <t>15/05/2026</t>
        </is>
      </c>
      <c r="D257" s="4" t="n">
        <v/>
      </c>
      <c r="E257" s="4" t="inlineStr">
        <is>
          <t>mayo</t>
        </is>
      </c>
      <c r="F257" s="4" t="n">
        <v>2026</v>
      </c>
      <c r="G257" s="5" t="inlineStr">
        <is>
          <t>LA SERENA / RUTA SOLITARIA 1059 LV</t>
        </is>
      </c>
      <c r="H257" s="5" t="inlineStr">
        <is>
          <t>77636200-K/TRANSPORTES SAN GABRIEL LTDA.</t>
        </is>
      </c>
      <c r="I257" s="4" t="n">
        <v>1</v>
      </c>
      <c r="J257" s="5" t="inlineStr">
        <is>
          <t>LA SERENA / RUTA SOLITARIA 1059 LV</t>
        </is>
      </c>
      <c r="K257" s="4" t="n">
        <v>1708</v>
      </c>
    </row>
    <row r="258">
      <c r="A258" s="2">
        <f>"119261"</f>
        <v/>
      </c>
      <c r="B258" s="2" t="inlineStr">
        <is>
          <t>HKOOB37052768 / HKOOB37058514</t>
        </is>
      </c>
      <c r="C258" s="2" t="inlineStr">
        <is>
          <t>15/05/2026</t>
        </is>
      </c>
      <c r="D258" s="2" t="n">
        <v/>
      </c>
      <c r="E258" s="2" t="inlineStr">
        <is>
          <t>mayo</t>
        </is>
      </c>
      <c r="F258" s="2" t="n">
        <v>2026</v>
      </c>
      <c r="G258" s="3" t="inlineStr">
        <is>
          <t>COPIAPO / LA SERENA</t>
        </is>
      </c>
      <c r="H258" s="3" t="inlineStr">
        <is>
          <t>77636200-K/TRANSPORTES SAN GABRIEL LTDA.</t>
        </is>
      </c>
      <c r="I258" s="2" t="n">
        <v>1</v>
      </c>
      <c r="J258" s="3" t="inlineStr">
        <is>
          <t>COPIAPO / LA SERENA</t>
        </is>
      </c>
      <c r="K258" s="2" t="n">
        <v>1605</v>
      </c>
    </row>
    <row r="259">
      <c r="A259" s="4" t="inlineStr">
        <is>
          <t>LAS</t>
        </is>
      </c>
      <c r="B259" s="4" t="inlineStr">
        <is>
          <t>HKOOB36985602 / HKOOB36985610 / HKOOB36991771 / HKOOB36991772 / HKOOB36997597 / HKOOB36997604 / HKOOB37004439 / HKOOB37004444 / HKOOB37004446 / HKOOB37058740 / HKOOB37058741</t>
        </is>
      </c>
      <c r="C259" s="4" t="inlineStr">
        <is>
          <t>12/05/2026</t>
        </is>
      </c>
      <c r="D259" s="4" t="n">
        <v/>
      </c>
      <c r="E259" s="4" t="inlineStr">
        <is>
          <t>mayo</t>
        </is>
      </c>
      <c r="F259" s="4" t="n">
        <v>2026</v>
      </c>
      <c r="G259" s="5" t="inlineStr">
        <is>
          <t>LO ESPEJO / VINA DEL MAR</t>
        </is>
      </c>
      <c r="H259" s="5" t="inlineStr">
        <is>
          <t>SIN PROVEEDOR</t>
        </is>
      </c>
      <c r="I259" s="4" t="n">
        <v>1</v>
      </c>
      <c r="J259" s="5" t="inlineStr">
        <is>
          <t>LO ESPEJO / VINA DEL MAR</t>
        </is>
      </c>
      <c r="K259" s="4" t="n">
        <v>13769</v>
      </c>
    </row>
  </sheetData>
  <autoFilter ref="A1:K2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2026-05-16T03:21:01Z</dcterms:created>
  <dcterms:modified xmlns:dcterms="http://purl.org/dc/terms/" xmlns:xsi="http://www.w3.org/2001/XMLSchema-instance" xsi:type="dcterms:W3CDTF">2026-05-16T03:21:01Z</dcterms:modified>
</cp:coreProperties>
</file>