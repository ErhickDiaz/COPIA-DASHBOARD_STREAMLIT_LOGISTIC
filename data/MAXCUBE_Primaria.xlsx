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>
        <f>"119239"</f>
        <v/>
      </c>
      <c r="B227" s="4" t="inlineStr">
        <is>
          <t>CHKO373825 / CHKO373844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1679</v>
      </c>
    </row>
    <row r="228">
      <c r="A228" s="2">
        <f>"119243"</f>
        <v/>
      </c>
      <c r="B228" s="2" t="inlineStr">
        <is>
          <t>CHKO373749 / CHKO373845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SAN FERNANDO / TALCA</t>
        </is>
      </c>
      <c r="H228" s="3" t="inlineStr">
        <is>
          <t>76252773-1/GARATE Y GARATE LIMITADA</t>
        </is>
      </c>
      <c r="I228" s="2" t="n">
        <v>1</v>
      </c>
      <c r="J228" s="3" t="inlineStr">
        <is>
          <t>SAN FERNANDO / TALCA</t>
        </is>
      </c>
      <c r="K228" s="2" t="n">
        <v>1627</v>
      </c>
    </row>
    <row r="229">
      <c r="A229" s="4">
        <f>"119255"</f>
        <v/>
      </c>
      <c r="B229" s="4" t="inlineStr">
        <is>
          <t>CHKO373695 / CHKO373826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1532</v>
      </c>
    </row>
    <row r="230">
      <c r="A230" s="2">
        <f>"119258"</f>
        <v/>
      </c>
      <c r="B230" s="2" t="inlineStr">
        <is>
          <t>CHKO373754 / CHKO373867 / CHKO373905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1708</v>
      </c>
    </row>
    <row r="231">
      <c r="A231" s="4">
        <f>"119261"</f>
        <v/>
      </c>
      <c r="B231" s="4" t="inlineStr">
        <is>
          <t>HKOOB37052768 / HKOOB37058514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COPIAPO / LA SERENA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COPIAPO / LA SERENA</t>
        </is>
      </c>
      <c r="K231" s="4" t="n">
        <v>1605</v>
      </c>
    </row>
    <row r="232">
      <c r="A232" s="2">
        <f>"119283"</f>
        <v/>
      </c>
      <c r="B232" s="2" t="inlineStr">
        <is>
          <t>CHKO373697 / CHKO373925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1600</v>
      </c>
    </row>
    <row r="233">
      <c r="A233" s="4">
        <f>"119286"</f>
        <v/>
      </c>
      <c r="B233" s="4" t="inlineStr">
        <is>
          <t>HKOOB37063239 / HKOOB37066332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TALCA</t>
        </is>
      </c>
      <c r="K233" s="4" t="n">
        <v>1544</v>
      </c>
    </row>
    <row r="234">
      <c r="A234" s="2">
        <f>"119288"</f>
        <v/>
      </c>
      <c r="B234" s="2" t="inlineStr">
        <is>
          <t>CHKO373986 / HKOOB37063246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</t>
        </is>
      </c>
      <c r="K234" s="2" t="n">
        <v>1682</v>
      </c>
    </row>
    <row r="235">
      <c r="A235" s="4">
        <f>"119290"</f>
        <v/>
      </c>
      <c r="B235" s="4" t="inlineStr">
        <is>
          <t>CHKO373949 / HKOOB37037366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719</v>
      </c>
    </row>
    <row r="236">
      <c r="A236" s="2">
        <f>"119299"</f>
        <v/>
      </c>
      <c r="B236" s="2" t="inlineStr">
        <is>
          <t>CHKO373702 / CHKO373911 / CHKO374004</t>
        </is>
      </c>
      <c r="C236" s="2" t="inlineStr">
        <is>
          <t>17/05/2026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1953</v>
      </c>
    </row>
    <row r="237">
      <c r="A237" s="4">
        <f>"119301"</f>
        <v/>
      </c>
      <c r="B237" s="4" t="inlineStr">
        <is>
          <t>CHKO374005 / HKOOB37066348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ARICA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ARICA</t>
        </is>
      </c>
      <c r="K237" s="4" t="n">
        <v>1701</v>
      </c>
    </row>
    <row r="238">
      <c r="A238" s="2">
        <f>"119302"</f>
        <v/>
      </c>
      <c r="B238" s="2" t="inlineStr">
        <is>
          <t>HKOOB37066351 / HKOOB37066352</t>
        </is>
      </c>
      <c r="C238" s="2" t="inlineStr">
        <is>
          <t>17/05/2026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</t>
        </is>
      </c>
      <c r="H238" s="3" t="inlineStr">
        <is>
          <t>76746317-0/TRAILER LOGISTICS SPA</t>
        </is>
      </c>
      <c r="I238" s="2" t="n">
        <v>1</v>
      </c>
      <c r="J238" s="3" t="inlineStr">
        <is>
          <t>ANTOFAGASTA</t>
        </is>
      </c>
      <c r="K238" s="2" t="n">
        <v>2102</v>
      </c>
    </row>
    <row r="239">
      <c r="A239" s="4">
        <f>"119304"</f>
        <v/>
      </c>
      <c r="B239" s="4" t="inlineStr">
        <is>
          <t>HKOOB37066334 / HKOOB37066339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1619</v>
      </c>
    </row>
    <row r="240">
      <c r="A240" s="2">
        <f>"119308"</f>
        <v/>
      </c>
      <c r="B240" s="2" t="inlineStr">
        <is>
          <t>CHKO373703 / CHKO373952 / CHKO374066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LA SERENA / RUTA SOLITARIA 1059 LV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LA SERENA / RUTA SOLITARIA 1059 LV</t>
        </is>
      </c>
      <c r="K240" s="2" t="n">
        <v>1657</v>
      </c>
    </row>
    <row r="241">
      <c r="A241" s="4">
        <f>"119318"</f>
        <v/>
      </c>
      <c r="B241" s="4" t="inlineStr">
        <is>
          <t>CHKO373953 / HKOOB37075213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77970090-9/TRANSPORTES DONA ISIDORA (LABBE)</t>
        </is>
      </c>
      <c r="I241" s="4" t="n">
        <v>1</v>
      </c>
      <c r="J241" s="5" t="inlineStr">
        <is>
          <t>PTO MONTT / VALDIVIA</t>
        </is>
      </c>
      <c r="K241" s="4" t="n">
        <v>1380</v>
      </c>
    </row>
    <row r="242">
      <c r="A242" s="2">
        <f>"119341"</f>
        <v/>
      </c>
      <c r="B242" s="2" t="inlineStr">
        <is>
          <t>HKOOB37081614 / HKOOB37081617</t>
        </is>
      </c>
      <c r="C242" s="2" t="inlineStr">
        <is>
          <t>20/05/2026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1621</v>
      </c>
    </row>
    <row r="243">
      <c r="A243" s="4" t="inlineStr">
        <is>
          <t>LAS</t>
        </is>
      </c>
      <c r="B243" s="4" t="inlineStr">
        <is>
          <t>HKOOB37058740 / HKOOB37058741 / HKOOB37063774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</t>
        </is>
      </c>
      <c r="K243" s="4" t="n">
        <v>3493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2026-05-20T19:58:32Z</dcterms:created>
  <dcterms:modified xmlns:dcterms="http://purl.org/dc/terms/" xmlns:xsi="http://www.w3.org/2001/XMLSchema-instance" xsi:type="dcterms:W3CDTF">2026-05-20T19:58:32Z</dcterms:modified>
</cp:coreProperties>
</file>