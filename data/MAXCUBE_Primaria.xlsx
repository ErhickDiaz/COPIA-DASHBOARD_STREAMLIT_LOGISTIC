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"119173"</f>
        <v/>
      </c>
      <c r="B195" s="4" t="inlineStr">
        <is>
          <t>CHKO373624 / HKOOB37011942</t>
        </is>
      </c>
      <c r="C195" s="4" t="inlineStr">
        <is>
          <t>11/05/2026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PTO MONTT / VALDIVIA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 / VALDIVIA</t>
        </is>
      </c>
      <c r="K195" s="4" t="n">
        <v>1664</v>
      </c>
    </row>
    <row r="196">
      <c r="A196" s="2">
        <f>"119195"</f>
        <v/>
      </c>
      <c r="B196" s="2" t="inlineStr">
        <is>
          <t>CHKO373384 / HKOOB37037365</t>
        </is>
      </c>
      <c r="C196" s="2" t="inlineStr">
        <is>
          <t>12/05/2026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ANTOFAGASTA / IQUIQUE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ANTOFAGASTA / IQUIQUE</t>
        </is>
      </c>
      <c r="K196" s="2" t="n">
        <v>1786</v>
      </c>
    </row>
    <row r="197">
      <c r="A197" s="4">
        <f>"119212"</f>
        <v/>
      </c>
      <c r="B197" s="4" t="inlineStr">
        <is>
          <t>CHKO373745 / HKOOB37043861</t>
        </is>
      </c>
      <c r="C197" s="4" t="inlineStr">
        <is>
          <t>13/05/2026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RUTA SOLITARIA ELPAC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RUTA SOLITARIA ELPAC</t>
        </is>
      </c>
      <c r="K197" s="4" t="n">
        <v>1739</v>
      </c>
    </row>
    <row r="198">
      <c r="A198" s="2">
        <f>"119239"</f>
        <v/>
      </c>
      <c r="B198" s="2" t="inlineStr">
        <is>
          <t>CHKO373825 / CHKO373844</t>
        </is>
      </c>
      <c r="C198" s="2" t="inlineStr">
        <is>
          <t>14/05/2026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VALDIVIA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 / VALDIVIA</t>
        </is>
      </c>
      <c r="K198" s="2" t="n">
        <v>1679</v>
      </c>
    </row>
    <row r="199">
      <c r="A199" s="4">
        <f>"119243"</f>
        <v/>
      </c>
      <c r="B199" s="4" t="inlineStr">
        <is>
          <t>CHKO373749 / CHKO373845</t>
        </is>
      </c>
      <c r="C199" s="4" t="inlineStr">
        <is>
          <t>14/05/2026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SAN FERNANDO / TALCA</t>
        </is>
      </c>
      <c r="H199" s="5" t="inlineStr">
        <is>
          <t>76252773-1/GARATE Y GARATE LIMITADA</t>
        </is>
      </c>
      <c r="I199" s="4" t="n">
        <v>1</v>
      </c>
      <c r="J199" s="5" t="inlineStr">
        <is>
          <t>SAN FERNANDO / TALCA</t>
        </is>
      </c>
      <c r="K199" s="4" t="n">
        <v>1627</v>
      </c>
    </row>
    <row r="200">
      <c r="A200" s="2">
        <f>"119255"</f>
        <v/>
      </c>
      <c r="B200" s="2" t="inlineStr">
        <is>
          <t>CHKO373695 / CHKO373826</t>
        </is>
      </c>
      <c r="C200" s="2" t="inlineStr">
        <is>
          <t>15/05/2026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LOS ANGELES / TEMUCO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LOS ANGELES / TEMUCO</t>
        </is>
      </c>
      <c r="K200" s="2" t="n">
        <v>1532</v>
      </c>
    </row>
    <row r="201">
      <c r="A201" s="4">
        <f>"119258"</f>
        <v/>
      </c>
      <c r="B201" s="4" t="inlineStr">
        <is>
          <t>CHKO373754 / CHKO373867 / CHKO373905</t>
        </is>
      </c>
      <c r="C201" s="4" t="inlineStr">
        <is>
          <t>15/05/2026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1708</v>
      </c>
    </row>
    <row r="202">
      <c r="A202" s="2">
        <f>"119261"</f>
        <v/>
      </c>
      <c r="B202" s="2" t="inlineStr">
        <is>
          <t>HKOOB37052768 / HKOOB37058514</t>
        </is>
      </c>
      <c r="C202" s="2" t="inlineStr">
        <is>
          <t>15/05/2026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COPIAPO / LA SERENA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COPIAPO / LA SERENA</t>
        </is>
      </c>
      <c r="K202" s="2" t="n">
        <v>1605</v>
      </c>
    </row>
    <row r="203">
      <c r="A203" s="4">
        <f>"119283"</f>
        <v/>
      </c>
      <c r="B203" s="4" t="inlineStr">
        <is>
          <t>CHKO373697 / CHKO373925</t>
        </is>
      </c>
      <c r="C203" s="4" t="inlineStr">
        <is>
          <t>16/05/2026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LOS ANGELES / TEMUCO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LOS ANGELES / TEMUCO</t>
        </is>
      </c>
      <c r="K203" s="4" t="n">
        <v>1600</v>
      </c>
    </row>
    <row r="204">
      <c r="A204" s="2">
        <f>"119286"</f>
        <v/>
      </c>
      <c r="B204" s="2" t="inlineStr">
        <is>
          <t>HKOOB37063239 / HKOOB37066332</t>
        </is>
      </c>
      <c r="C204" s="2" t="inlineStr">
        <is>
          <t>16/05/2026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TALCA</t>
        </is>
      </c>
      <c r="K204" s="2" t="n">
        <v>1544</v>
      </c>
    </row>
    <row r="205">
      <c r="A205" s="4">
        <f>"119288"</f>
        <v/>
      </c>
      <c r="B205" s="4" t="inlineStr">
        <is>
          <t>CHKO373986 / HKOOB37063246</t>
        </is>
      </c>
      <c r="C205" s="4" t="inlineStr">
        <is>
          <t>16/05/2026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LOS ANGELES</t>
        </is>
      </c>
      <c r="K205" s="4" t="n">
        <v>1682</v>
      </c>
    </row>
    <row r="206">
      <c r="A206" s="2">
        <f>"119290"</f>
        <v/>
      </c>
      <c r="B206" s="2" t="inlineStr">
        <is>
          <t>CHKO373949 / HKOOB37037366</t>
        </is>
      </c>
      <c r="C206" s="2" t="inlineStr">
        <is>
          <t>16/05/2026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719</v>
      </c>
    </row>
    <row r="207">
      <c r="A207" s="4">
        <f>"119299"</f>
        <v/>
      </c>
      <c r="B207" s="4" t="inlineStr">
        <is>
          <t>CHKO373702 / CHKO373911 / CHKO374004</t>
        </is>
      </c>
      <c r="C207" s="4" t="inlineStr">
        <is>
          <t>17/05/2026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1953</v>
      </c>
    </row>
    <row r="208">
      <c r="A208" s="2">
        <f>"119301"</f>
        <v/>
      </c>
      <c r="B208" s="2" t="inlineStr">
        <is>
          <t>CHKO374005 / HKOOB37066348</t>
        </is>
      </c>
      <c r="C208" s="2" t="inlineStr">
        <is>
          <t>18/05/2026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ARICA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ARICA</t>
        </is>
      </c>
      <c r="K208" s="2" t="n">
        <v>1701</v>
      </c>
    </row>
    <row r="209">
      <c r="A209" s="4">
        <f>"119302"</f>
        <v/>
      </c>
      <c r="B209" s="4" t="inlineStr">
        <is>
          <t>HKOOB37066351 / HKOOB37066352</t>
        </is>
      </c>
      <c r="C209" s="4" t="inlineStr">
        <is>
          <t>17/05/2026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</t>
        </is>
      </c>
      <c r="H209" s="5" t="inlineStr">
        <is>
          <t>76746317-0/TRAILER LOGISTICS SPA</t>
        </is>
      </c>
      <c r="I209" s="4" t="n">
        <v>1</v>
      </c>
      <c r="J209" s="5" t="inlineStr">
        <is>
          <t>ANTOFAGASTA</t>
        </is>
      </c>
      <c r="K209" s="4" t="n">
        <v>2102</v>
      </c>
    </row>
    <row r="210">
      <c r="A210" s="2">
        <f>"119304"</f>
        <v/>
      </c>
      <c r="B210" s="2" t="inlineStr">
        <is>
          <t>HKOOB37066334 / HKOOB37066339</t>
        </is>
      </c>
      <c r="C210" s="2" t="inlineStr">
        <is>
          <t>18/05/2026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COPIAPO / LA SERENA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 / LA SERENA</t>
        </is>
      </c>
      <c r="K210" s="2" t="n">
        <v>1619</v>
      </c>
    </row>
    <row r="211">
      <c r="A211" s="4">
        <f>"119308"</f>
        <v/>
      </c>
      <c r="B211" s="4" t="inlineStr">
        <is>
          <t>CHKO373703 / CHKO373952 / CHKO374066</t>
        </is>
      </c>
      <c r="C211" s="4" t="inlineStr">
        <is>
          <t>18/05/2026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1657</v>
      </c>
    </row>
    <row r="212">
      <c r="A212" s="2">
        <f>"119318"</f>
        <v/>
      </c>
      <c r="B212" s="2" t="inlineStr">
        <is>
          <t>CHKO373953 / HKOOB37075213</t>
        </is>
      </c>
      <c r="C212" s="2" t="inlineStr">
        <is>
          <t>18/05/2026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PTO MONTT / VALDIVIA</t>
        </is>
      </c>
      <c r="K212" s="2" t="n">
        <v>1380</v>
      </c>
    </row>
    <row r="213">
      <c r="A213" s="4" t="inlineStr">
        <is>
          <t>LAS</t>
        </is>
      </c>
      <c r="B213" s="4" t="inlineStr">
        <is>
          <t>HKOOB37058740 / HKOOB37058741 / HKOOB37063774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EL PINAR / LO ESPEJO</t>
        </is>
      </c>
      <c r="H213" s="5" t="inlineStr">
        <is>
          <t>SIN PROVEEDOR</t>
        </is>
      </c>
      <c r="I213" s="4" t="n">
        <v>1</v>
      </c>
      <c r="J213" s="5" t="inlineStr">
        <is>
          <t>EL PINAR / LO ESPEJO</t>
        </is>
      </c>
      <c r="K213" s="4" t="n">
        <v>3493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2026-05-19T06:07:19Z</dcterms:created>
  <dcterms:modified xmlns:dcterms="http://purl.org/dc/terms/" xmlns:xsi="http://www.w3.org/2001/XMLSchema-instance" xsi:type="dcterms:W3CDTF">2026-05-19T06:07:19Z</dcterms:modified>
</cp:coreProperties>
</file>