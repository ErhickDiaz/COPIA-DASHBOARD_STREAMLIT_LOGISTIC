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 t="n">
        <v/>
      </c>
      <c r="B169" s="4" t="inlineStr">
        <is>
          <t>HKOOB37036935</t>
        </is>
      </c>
      <c r="C169" s="4" t="inlineStr">
        <is>
          <t>13/05/2026</t>
        </is>
      </c>
      <c r="D169" s="4" t="inlineStr">
        <is>
          <t>01:00:48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1317</v>
      </c>
    </row>
    <row r="170">
      <c r="A170" s="2">
        <f>"119208"</f>
        <v/>
      </c>
      <c r="B170" s="2" t="inlineStr">
        <is>
          <t>HKOOB37046559</t>
        </is>
      </c>
      <c r="C170" s="2" t="inlineStr">
        <is>
          <t>13/05/2026</t>
        </is>
      </c>
      <c r="D170" s="2" t="inlineStr">
        <is>
          <t>02:46:26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SIN PROVEEDOR</t>
        </is>
      </c>
      <c r="I170" s="2" t="n">
        <v>1</v>
      </c>
      <c r="J170" s="3" t="inlineStr">
        <is>
          <t>RANCAGUA</t>
        </is>
      </c>
      <c r="K170" s="2" t="n">
        <v>1676</v>
      </c>
    </row>
    <row r="171">
      <c r="A171" s="4">
        <f>"119209"</f>
        <v/>
      </c>
      <c r="B171" s="4" t="inlineStr">
        <is>
          <t>HKOOB37046560</t>
        </is>
      </c>
      <c r="C171" s="4" t="inlineStr">
        <is>
          <t>13/05/2026</t>
        </is>
      </c>
      <c r="D171" s="4" t="inlineStr">
        <is>
          <t>03:29:10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1796</v>
      </c>
    </row>
    <row r="172">
      <c r="A172" s="2">
        <f>"38111"</f>
        <v/>
      </c>
      <c r="B172" s="2" t="inlineStr">
        <is>
          <t>HKOOB37046782</t>
        </is>
      </c>
      <c r="C172" s="2" t="inlineStr">
        <is>
          <t>13/05/2026</t>
        </is>
      </c>
      <c r="D172" s="2" t="inlineStr">
        <is>
          <t>03:48:24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1132</v>
      </c>
    </row>
    <row r="173">
      <c r="A173" s="4">
        <f>"119210"</f>
        <v/>
      </c>
      <c r="B173" s="4" t="inlineStr">
        <is>
          <t>HKOOB37046788</t>
        </is>
      </c>
      <c r="C173" s="4" t="inlineStr">
        <is>
          <t>13/05/2026</t>
        </is>
      </c>
      <c r="D173" s="4" t="inlineStr">
        <is>
          <t>04:01:47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SIN PROVEEDOR</t>
        </is>
      </c>
      <c r="I173" s="4" t="n">
        <v>1</v>
      </c>
      <c r="J173" s="5" t="inlineStr">
        <is>
          <t>VINA DEL MAR</t>
        </is>
      </c>
      <c r="K173" s="4" t="n">
        <v>1469</v>
      </c>
    </row>
    <row r="174">
      <c r="A174" s="2">
        <f>"119211"</f>
        <v/>
      </c>
      <c r="B174" s="2" t="inlineStr">
        <is>
          <t>HKOOB37046558</t>
        </is>
      </c>
      <c r="C174" s="2" t="inlineStr">
        <is>
          <t>13/05/2026</t>
        </is>
      </c>
      <c r="D174" s="2" t="inlineStr">
        <is>
          <t>04:48:51</t>
        </is>
      </c>
      <c r="E174" s="2" t="inlineStr">
        <is>
          <t>mayo</t>
        </is>
      </c>
      <c r="F174" s="2" t="n">
        <v>2026</v>
      </c>
      <c r="G174" s="3" t="inlineStr">
        <is>
          <t>MELIPILLA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MELIPILLA</t>
        </is>
      </c>
      <c r="K174" s="2" t="n">
        <v>1754</v>
      </c>
    </row>
    <row r="175">
      <c r="A175" s="4">
        <f>"38130"</f>
        <v/>
      </c>
      <c r="B175" s="4" t="inlineStr">
        <is>
          <t>HKOOB37046793</t>
        </is>
      </c>
      <c r="C175" s="4" t="inlineStr">
        <is>
          <t>13/05/2026</t>
        </is>
      </c>
      <c r="D175" s="4" t="inlineStr">
        <is>
          <t>05:42:49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968</v>
      </c>
    </row>
    <row r="176">
      <c r="A176" s="2">
        <f>"38164"</f>
        <v/>
      </c>
      <c r="B176" s="2" t="inlineStr">
        <is>
          <t>HKOOB37043860</t>
        </is>
      </c>
      <c r="C176" s="2" t="inlineStr">
        <is>
          <t>13/05/2026</t>
        </is>
      </c>
      <c r="D176" s="2" t="inlineStr">
        <is>
          <t>07:50:29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1702</v>
      </c>
    </row>
    <row r="177">
      <c r="A177" s="4">
        <f>"38161"</f>
        <v/>
      </c>
      <c r="B177" s="4" t="inlineStr">
        <is>
          <t>HKOOB37043850</t>
        </is>
      </c>
      <c r="C177" s="4" t="inlineStr">
        <is>
          <t>13/05/2026</t>
        </is>
      </c>
      <c r="D177" s="4" t="inlineStr">
        <is>
          <t>09:04:16</t>
        </is>
      </c>
      <c r="E177" s="4" t="inlineStr">
        <is>
          <t>mayo</t>
        </is>
      </c>
      <c r="F177" s="4" t="n">
        <v>2026</v>
      </c>
      <c r="G177" s="5" t="inlineStr">
        <is>
          <t>CONCEPCION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CONCEPCION</t>
        </is>
      </c>
      <c r="K177" s="4" t="n">
        <v>1678</v>
      </c>
    </row>
    <row r="178">
      <c r="A178" s="2">
        <f>"119215"</f>
        <v/>
      </c>
      <c r="B178" s="2" t="inlineStr">
        <is>
          <t>HKOOB37043863</t>
        </is>
      </c>
      <c r="C178" s="2" t="inlineStr">
        <is>
          <t>13/05/2026</t>
        </is>
      </c>
      <c r="D178" s="2" t="inlineStr">
        <is>
          <t>09:56:12</t>
        </is>
      </c>
      <c r="E178" s="2" t="inlineStr">
        <is>
          <t>mayo</t>
        </is>
      </c>
      <c r="F178" s="2" t="n">
        <v>2026</v>
      </c>
      <c r="G178" s="3" t="inlineStr">
        <is>
          <t>OSORNO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OSORNO</t>
        </is>
      </c>
      <c r="K178" s="2" t="n">
        <v>1840</v>
      </c>
    </row>
    <row r="179">
      <c r="A179" s="4">
        <f>"119216"</f>
        <v/>
      </c>
      <c r="B179" s="4" t="inlineStr">
        <is>
          <t>HKOOB37043841</t>
        </is>
      </c>
      <c r="C179" s="4" t="inlineStr">
        <is>
          <t>13/05/2026</t>
        </is>
      </c>
      <c r="D179" s="4" t="inlineStr">
        <is>
          <t>10:27:13</t>
        </is>
      </c>
      <c r="E179" s="4" t="inlineStr">
        <is>
          <t>mayo</t>
        </is>
      </c>
      <c r="F179" s="4" t="n">
        <v>2026</v>
      </c>
      <c r="G179" s="5" t="inlineStr">
        <is>
          <t>VALDIVIA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VALDIVIA</t>
        </is>
      </c>
      <c r="K179" s="4" t="n">
        <v>1873</v>
      </c>
    </row>
    <row r="180">
      <c r="A180" s="2">
        <f>"38169"</f>
        <v/>
      </c>
      <c r="B180" s="2" t="inlineStr">
        <is>
          <t>HKOOB37046778</t>
        </is>
      </c>
      <c r="C180" s="2" t="inlineStr">
        <is>
          <t>13/05/2026</t>
        </is>
      </c>
      <c r="D180" s="2" t="inlineStr">
        <is>
          <t>11:04:49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1320</v>
      </c>
    </row>
    <row r="181">
      <c r="A181" s="4">
        <f>"119217"</f>
        <v/>
      </c>
      <c r="B181" s="4" t="inlineStr">
        <is>
          <t>HKOOB37046943</t>
        </is>
      </c>
      <c r="C181" s="4" t="inlineStr">
        <is>
          <t>13/05/2026</t>
        </is>
      </c>
      <c r="D181" s="4" t="inlineStr">
        <is>
          <t>11:16:52</t>
        </is>
      </c>
      <c r="E181" s="4" t="inlineStr">
        <is>
          <t>mayo</t>
        </is>
      </c>
      <c r="F181" s="4" t="n">
        <v>2026</v>
      </c>
      <c r="G181" s="5" t="inlineStr">
        <is>
          <t>LOS ANGELES</t>
        </is>
      </c>
      <c r="H181" s="5" t="inlineStr">
        <is>
          <t>SIN PROVEEDOR</t>
        </is>
      </c>
      <c r="I181" s="4" t="n">
        <v>1</v>
      </c>
      <c r="J181" s="5" t="inlineStr">
        <is>
          <t>LOS ANGELES</t>
        </is>
      </c>
      <c r="K181" s="4" t="n">
        <v>1665</v>
      </c>
    </row>
    <row r="182">
      <c r="A182" s="2">
        <f>"119219"</f>
        <v/>
      </c>
      <c r="B182" s="2" t="inlineStr">
        <is>
          <t>HKOOB37043859</t>
        </is>
      </c>
      <c r="C182" s="2" t="inlineStr">
        <is>
          <t>13/05/2026</t>
        </is>
      </c>
      <c r="D182" s="2" t="inlineStr">
        <is>
          <t>11:31:03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1790</v>
      </c>
    </row>
    <row r="183">
      <c r="A183" s="4">
        <f>"119218"</f>
        <v/>
      </c>
      <c r="B183" s="4" t="inlineStr">
        <is>
          <t>HKOOB37043852</t>
        </is>
      </c>
      <c r="C183" s="4" t="inlineStr">
        <is>
          <t>13/05/2026</t>
        </is>
      </c>
      <c r="D183" s="4" t="inlineStr">
        <is>
          <t>12:09:50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1523</v>
      </c>
    </row>
    <row r="184">
      <c r="A184" s="2">
        <f>"119220"</f>
        <v/>
      </c>
      <c r="B184" s="2" t="inlineStr">
        <is>
          <t>HKOOB37046790</t>
        </is>
      </c>
      <c r="C184" s="2" t="inlineStr">
        <is>
          <t>13/05/2026</t>
        </is>
      </c>
      <c r="D184" s="2" t="inlineStr">
        <is>
          <t>12:43:46</t>
        </is>
      </c>
      <c r="E184" s="2" t="inlineStr">
        <is>
          <t>mayo</t>
        </is>
      </c>
      <c r="F184" s="2" t="n">
        <v>2026</v>
      </c>
      <c r="G184" s="3" t="inlineStr">
        <is>
          <t>VINA DEL MAR</t>
        </is>
      </c>
      <c r="H184" s="3" t="inlineStr">
        <is>
          <t>16575553-7/GABRIEL ALEJANDRO ESTAY CARRAZANA</t>
        </is>
      </c>
      <c r="I184" s="2" t="n">
        <v>1</v>
      </c>
      <c r="J184" s="3" t="inlineStr">
        <is>
          <t>VINA DEL MAR</t>
        </is>
      </c>
      <c r="K184" s="2" t="n">
        <v>1470</v>
      </c>
    </row>
    <row r="185">
      <c r="A185" s="4">
        <f>"38185"</f>
        <v/>
      </c>
      <c r="B185" s="4" t="inlineStr">
        <is>
          <t>HKOOB37046779</t>
        </is>
      </c>
      <c r="C185" s="4" t="inlineStr">
        <is>
          <t>13/05/2026</t>
        </is>
      </c>
      <c r="D185" s="4" t="inlineStr">
        <is>
          <t>12:57:35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SIN PROVEEDOR</t>
        </is>
      </c>
      <c r="I185" s="4" t="n">
        <v>1</v>
      </c>
      <c r="J185" s="5" t="inlineStr">
        <is>
          <t>LO ESPEJO</t>
        </is>
      </c>
      <c r="K185" s="4" t="n">
        <v>1165</v>
      </c>
    </row>
    <row r="186">
      <c r="A186" s="2">
        <f>"119221"</f>
        <v/>
      </c>
      <c r="B186" s="2" t="inlineStr">
        <is>
          <t>HKOOB37050391</t>
        </is>
      </c>
      <c r="C186" s="2" t="inlineStr">
        <is>
          <t>13/05/2026</t>
        </is>
      </c>
      <c r="D186" s="2" t="inlineStr">
        <is>
          <t>14:06:29</t>
        </is>
      </c>
      <c r="E186" s="2" t="inlineStr">
        <is>
          <t>mayo</t>
        </is>
      </c>
      <c r="F186" s="2" t="n">
        <v>2026</v>
      </c>
      <c r="G186" s="3" t="inlineStr">
        <is>
          <t>ANTOFAGASTA</t>
        </is>
      </c>
      <c r="H186" s="3" t="inlineStr">
        <is>
          <t>76746317-0/TRAILER LOGISTICS SPA</t>
        </is>
      </c>
      <c r="I186" s="2" t="n">
        <v>1</v>
      </c>
      <c r="J186" s="3" t="inlineStr">
        <is>
          <t>ANTOFAGASTA</t>
        </is>
      </c>
      <c r="K186" s="2" t="n">
        <v>0</v>
      </c>
    </row>
    <row r="187">
      <c r="A187" s="4">
        <f>"119222"</f>
        <v/>
      </c>
      <c r="B187" s="4" t="inlineStr">
        <is>
          <t>HKOOB37043838</t>
        </is>
      </c>
      <c r="C187" s="4" t="inlineStr">
        <is>
          <t>13/05/2026</t>
        </is>
      </c>
      <c r="D187" s="4" t="inlineStr">
        <is>
          <t>14:51:44</t>
        </is>
      </c>
      <c r="E187" s="4" t="inlineStr">
        <is>
          <t>mayo</t>
        </is>
      </c>
      <c r="F187" s="4" t="n">
        <v>2026</v>
      </c>
      <c r="G187" s="5" t="inlineStr">
        <is>
          <t>TEMUCO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TEMUCO</t>
        </is>
      </c>
      <c r="K187" s="4" t="n">
        <v>1803</v>
      </c>
    </row>
    <row r="188">
      <c r="A188" s="2">
        <f>"38195"</f>
        <v/>
      </c>
      <c r="B188" s="2" t="inlineStr">
        <is>
          <t>HKOOB37046780</t>
        </is>
      </c>
      <c r="C188" s="2" t="inlineStr">
        <is>
          <t>13/05/2026</t>
        </is>
      </c>
      <c r="D188" s="2" t="inlineStr">
        <is>
          <t>15:55:49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1395</v>
      </c>
    </row>
    <row r="189">
      <c r="A189" s="4">
        <f>"38200"</f>
        <v/>
      </c>
      <c r="B189" s="4" t="inlineStr">
        <is>
          <t>HKOOB37046792</t>
        </is>
      </c>
      <c r="C189" s="4" t="inlineStr">
        <is>
          <t>13/05/2026</t>
        </is>
      </c>
      <c r="D189" s="4" t="inlineStr">
        <is>
          <t>17:24:00</t>
        </is>
      </c>
      <c r="E189" s="4" t="inlineStr">
        <is>
          <t>mayo</t>
        </is>
      </c>
      <c r="F189" s="4" t="n">
        <v>2026</v>
      </c>
      <c r="G189" s="5" t="inlineStr">
        <is>
          <t>EL PINAR</t>
        </is>
      </c>
      <c r="H189" s="5" t="inlineStr">
        <is>
          <t>SIN PROVEEDOR</t>
        </is>
      </c>
      <c r="I189" s="4" t="n">
        <v>1</v>
      </c>
      <c r="J189" s="5" t="inlineStr">
        <is>
          <t>EL PINAR</t>
        </is>
      </c>
      <c r="K189" s="4" t="n">
        <v>1076</v>
      </c>
    </row>
    <row r="190">
      <c r="A190" s="2">
        <f>"119223"</f>
        <v/>
      </c>
      <c r="B190" s="2" t="inlineStr">
        <is>
          <t>HKOOB37043839</t>
        </is>
      </c>
      <c r="C190" s="2" t="inlineStr">
        <is>
          <t>13/05/2026</t>
        </is>
      </c>
      <c r="D190" s="2" t="inlineStr">
        <is>
          <t>17:34:21</t>
        </is>
      </c>
      <c r="E190" s="2" t="inlineStr">
        <is>
          <t>mayo</t>
        </is>
      </c>
      <c r="F190" s="2" t="n">
        <v>2026</v>
      </c>
      <c r="G190" s="3" t="inlineStr">
        <is>
          <t>TEMUCO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TEMUCO</t>
        </is>
      </c>
      <c r="K190" s="2" t="n">
        <v>1655</v>
      </c>
    </row>
    <row r="191">
      <c r="A191" s="4">
        <f>"119224"</f>
        <v/>
      </c>
      <c r="B191" s="4" t="inlineStr">
        <is>
          <t>HKOOB37043862</t>
        </is>
      </c>
      <c r="C191" s="4" t="inlineStr">
        <is>
          <t>13/05/2026</t>
        </is>
      </c>
      <c r="D191" s="4" t="inlineStr">
        <is>
          <t>18:13:08</t>
        </is>
      </c>
      <c r="E191" s="4" t="inlineStr">
        <is>
          <t>mayo</t>
        </is>
      </c>
      <c r="F191" s="4" t="n">
        <v>2026</v>
      </c>
      <c r="G191" s="5" t="inlineStr">
        <is>
          <t>SAN FERNANDO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SAN FERNANDO</t>
        </is>
      </c>
      <c r="K191" s="4" t="n">
        <v>1149</v>
      </c>
    </row>
    <row r="192">
      <c r="A192" s="2">
        <f>"119225"</f>
        <v/>
      </c>
      <c r="B192" s="2" t="inlineStr">
        <is>
          <t>HKOOB37043844</t>
        </is>
      </c>
      <c r="C192" s="2" t="inlineStr">
        <is>
          <t>13/05/2026</t>
        </is>
      </c>
      <c r="D192" s="2" t="inlineStr">
        <is>
          <t>19:06:08</t>
        </is>
      </c>
      <c r="E192" s="2" t="inlineStr">
        <is>
          <t>mayo</t>
        </is>
      </c>
      <c r="F192" s="2" t="n">
        <v>2026</v>
      </c>
      <c r="G192" s="3" t="inlineStr">
        <is>
          <t>CHILLAN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CHILLAN</t>
        </is>
      </c>
      <c r="K192" s="2" t="n">
        <v>1818</v>
      </c>
    </row>
    <row r="193">
      <c r="A193" s="4">
        <f>"119226"</f>
        <v/>
      </c>
      <c r="B193" s="4" t="inlineStr">
        <is>
          <t>HKOOB37046789</t>
        </is>
      </c>
      <c r="C193" s="4" t="inlineStr">
        <is>
          <t>13/05/2026</t>
        </is>
      </c>
      <c r="D193" s="4" t="inlineStr">
        <is>
          <t>19:40:18</t>
        </is>
      </c>
      <c r="E193" s="4" t="inlineStr">
        <is>
          <t>mayo</t>
        </is>
      </c>
      <c r="F193" s="4" t="n">
        <v>2026</v>
      </c>
      <c r="G193" s="5" t="inlineStr">
        <is>
          <t>VINA DEL MAR</t>
        </is>
      </c>
      <c r="H193" s="5" t="inlineStr">
        <is>
          <t>16575553-7/GABRIEL ALEJANDRO ESTAY CARRAZANA</t>
        </is>
      </c>
      <c r="I193" s="4" t="n">
        <v>1</v>
      </c>
      <c r="J193" s="5" t="inlineStr">
        <is>
          <t>VINA DEL MAR</t>
        </is>
      </c>
      <c r="K193" s="4" t="n">
        <v>1554</v>
      </c>
    </row>
    <row r="194">
      <c r="A194" s="2">
        <f>"119227"</f>
        <v/>
      </c>
      <c r="B194" s="2" t="inlineStr">
        <is>
          <t>HKOOB37043855</t>
        </is>
      </c>
      <c r="C194" s="2" t="inlineStr">
        <is>
          <t>13/05/2026</t>
        </is>
      </c>
      <c r="D194" s="2" t="inlineStr">
        <is>
          <t>20:05:24</t>
        </is>
      </c>
      <c r="E194" s="2" t="inlineStr">
        <is>
          <t>mayo</t>
        </is>
      </c>
      <c r="F194" s="2" t="n">
        <v>2026</v>
      </c>
      <c r="G194" s="3" t="inlineStr">
        <is>
          <t>LA SERENA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LA SERENA</t>
        </is>
      </c>
      <c r="K194" s="2" t="n">
        <v>1803</v>
      </c>
    </row>
    <row r="195">
      <c r="A195" s="4">
        <f>"119228"</f>
        <v/>
      </c>
      <c r="B195" s="4" t="inlineStr">
        <is>
          <t>HKOOB37043854</t>
        </is>
      </c>
      <c r="C195" s="4" t="inlineStr">
        <is>
          <t>13/05/2026</t>
        </is>
      </c>
      <c r="D195" s="4" t="inlineStr">
        <is>
          <t>20:32:54</t>
        </is>
      </c>
      <c r="E195" s="4" t="inlineStr">
        <is>
          <t>mayo</t>
        </is>
      </c>
      <c r="F195" s="4" t="n">
        <v>2026</v>
      </c>
      <c r="G195" s="5" t="inlineStr">
        <is>
          <t>TALCA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TALCA</t>
        </is>
      </c>
      <c r="K195" s="4" t="n">
        <v>1774</v>
      </c>
    </row>
    <row r="196">
      <c r="A196" s="2">
        <f>"119229"</f>
        <v/>
      </c>
      <c r="B196" s="2" t="inlineStr">
        <is>
          <t>HKOOB37043849</t>
        </is>
      </c>
      <c r="C196" s="2" t="inlineStr">
        <is>
          <t>13/05/2026</t>
        </is>
      </c>
      <c r="D196" s="2" t="inlineStr">
        <is>
          <t>21:31:39</t>
        </is>
      </c>
      <c r="E196" s="2" t="inlineStr">
        <is>
          <t>mayo</t>
        </is>
      </c>
      <c r="F196" s="2" t="n">
        <v>2026</v>
      </c>
      <c r="G196" s="3" t="inlineStr">
        <is>
          <t>CONCEPCION</t>
        </is>
      </c>
      <c r="H196" s="3" t="inlineStr">
        <is>
          <t>76746317-0/TRAILER LOGISTICS SPA</t>
        </is>
      </c>
      <c r="I196" s="2" t="n">
        <v>1</v>
      </c>
      <c r="J196" s="3" t="inlineStr">
        <is>
          <t>CONCEPCION</t>
        </is>
      </c>
      <c r="K196" s="2" t="n">
        <v>20125</v>
      </c>
    </row>
    <row r="197">
      <c r="A197" s="4">
        <f>"38245"</f>
        <v/>
      </c>
      <c r="B197" s="4" t="inlineStr">
        <is>
          <t>HKOOB37046781</t>
        </is>
      </c>
      <c r="C197" s="4" t="inlineStr">
        <is>
          <t>13/05/2026</t>
        </is>
      </c>
      <c r="D197" s="4" t="inlineStr">
        <is>
          <t>23:14:35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1194</v>
      </c>
    </row>
    <row r="198">
      <c r="A198" s="2">
        <f>"38246"</f>
        <v/>
      </c>
      <c r="B198" s="2" t="inlineStr">
        <is>
          <t>HKOOB37046783</t>
        </is>
      </c>
      <c r="C198" s="2" t="inlineStr">
        <is>
          <t>13/05/2026</t>
        </is>
      </c>
      <c r="D198" s="2" t="inlineStr">
        <is>
          <t>23:18:36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1440</v>
      </c>
    </row>
    <row r="199">
      <c r="A199" s="4">
        <f>"38251"</f>
        <v/>
      </c>
      <c r="B199" s="4" t="inlineStr">
        <is>
          <t>HKOOB37046784</t>
        </is>
      </c>
      <c r="C199" s="4" t="inlineStr">
        <is>
          <t>13/05/2026</t>
        </is>
      </c>
      <c r="D199" s="4" t="inlineStr">
        <is>
          <t>23:49:57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1308</v>
      </c>
    </row>
    <row r="200">
      <c r="A200" s="2">
        <f>"119230"</f>
        <v/>
      </c>
      <c r="B200" s="2" t="inlineStr">
        <is>
          <t>HKOOB37052764</t>
        </is>
      </c>
      <c r="C200" s="2" t="inlineStr">
        <is>
          <t>14/05/2026</t>
        </is>
      </c>
      <c r="D200" s="2" t="inlineStr">
        <is>
          <t>01:36:43</t>
        </is>
      </c>
      <c r="E200" s="2" t="inlineStr">
        <is>
          <t>mayo</t>
        </is>
      </c>
      <c r="F200" s="2" t="n">
        <v>2026</v>
      </c>
      <c r="G200" s="3" t="inlineStr">
        <is>
          <t>VINA DEL MAR</t>
        </is>
      </c>
      <c r="H200" s="3" t="inlineStr">
        <is>
          <t>SIN PROVEEDOR</t>
        </is>
      </c>
      <c r="I200" s="2" t="n">
        <v>1</v>
      </c>
      <c r="J200" s="3" t="inlineStr">
        <is>
          <t>VINA DEL MAR</t>
        </is>
      </c>
      <c r="K200" s="2" t="n">
        <v>1931</v>
      </c>
    </row>
    <row r="201">
      <c r="A201" s="4">
        <f>"38255"</f>
        <v/>
      </c>
      <c r="B201" s="4" t="inlineStr">
        <is>
          <t>HKOOB37046785</t>
        </is>
      </c>
      <c r="C201" s="4" t="inlineStr">
        <is>
          <t>14/05/2026</t>
        </is>
      </c>
      <c r="D201" s="4" t="inlineStr">
        <is>
          <t>01:44:27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1214</v>
      </c>
    </row>
    <row r="202">
      <c r="A202" s="2">
        <f>"38263"</f>
        <v/>
      </c>
      <c r="B202" s="2" t="inlineStr">
        <is>
          <t>HKOOB37046786</t>
        </is>
      </c>
      <c r="C202" s="2" t="inlineStr">
        <is>
          <t>14/05/2026</t>
        </is>
      </c>
      <c r="D202" s="2" t="inlineStr">
        <is>
          <t>02:46:01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1157</v>
      </c>
    </row>
    <row r="203">
      <c r="A203" s="4">
        <f>"38265"</f>
        <v/>
      </c>
      <c r="B203" s="4" t="inlineStr">
        <is>
          <t>HKOOB37046787</t>
        </is>
      </c>
      <c r="C203" s="4" t="inlineStr">
        <is>
          <t>14/05/2026</t>
        </is>
      </c>
      <c r="D203" s="4" t="inlineStr">
        <is>
          <t>03:31:04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1342</v>
      </c>
    </row>
    <row r="204">
      <c r="A204" s="2">
        <f>"38267"</f>
        <v/>
      </c>
      <c r="B204" s="2" t="inlineStr">
        <is>
          <t>HKOOB37052758</t>
        </is>
      </c>
      <c r="C204" s="2" t="inlineStr">
        <is>
          <t>14/05/2026</t>
        </is>
      </c>
      <c r="D204" s="2" t="inlineStr">
        <is>
          <t>04:02:09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1318</v>
      </c>
    </row>
    <row r="205">
      <c r="A205" s="4">
        <f>"119232"</f>
        <v/>
      </c>
      <c r="B205" s="4" t="inlineStr">
        <is>
          <t>HKOOB37052457</t>
        </is>
      </c>
      <c r="C205" s="4" t="inlineStr">
        <is>
          <t>14/05/2026</t>
        </is>
      </c>
      <c r="D205" s="4" t="inlineStr">
        <is>
          <t>04:24:38</t>
        </is>
      </c>
      <c r="E205" s="4" t="inlineStr">
        <is>
          <t>mayo</t>
        </is>
      </c>
      <c r="F205" s="4" t="n">
        <v>2026</v>
      </c>
      <c r="G205" s="5" t="inlineStr">
        <is>
          <t>LOS ANDES</t>
        </is>
      </c>
      <c r="H205" s="5" t="inlineStr">
        <is>
          <t>77970090-9/TRANSPORTES DONA ISIDORA (LABBE)</t>
        </is>
      </c>
      <c r="I205" s="4" t="n">
        <v>1</v>
      </c>
      <c r="J205" s="5" t="inlineStr">
        <is>
          <t>LOS ANDES</t>
        </is>
      </c>
      <c r="K205" s="4" t="n">
        <v>1458</v>
      </c>
    </row>
    <row r="206">
      <c r="A206" s="2">
        <f>"119231"</f>
        <v/>
      </c>
      <c r="B206" s="2" t="inlineStr">
        <is>
          <t>HKOOB37033361</t>
        </is>
      </c>
      <c r="C206" s="2" t="inlineStr">
        <is>
          <t>14/05/2026</t>
        </is>
      </c>
      <c r="D206" s="2" t="inlineStr">
        <is>
          <t>04:41:40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1718</v>
      </c>
    </row>
    <row r="207">
      <c r="A207" s="4">
        <f>"119234"</f>
        <v/>
      </c>
      <c r="B207" s="4" t="inlineStr">
        <is>
          <t>HKOOB37052447</t>
        </is>
      </c>
      <c r="C207" s="4" t="inlineStr">
        <is>
          <t>14/05/2026</t>
        </is>
      </c>
      <c r="D207" s="4" t="inlineStr">
        <is>
          <t>05:22:21</t>
        </is>
      </c>
      <c r="E207" s="4" t="inlineStr">
        <is>
          <t>mayo</t>
        </is>
      </c>
      <c r="F207" s="4" t="n">
        <v>2026</v>
      </c>
      <c r="G207" s="5" t="inlineStr">
        <is>
          <t>RANCAGUA</t>
        </is>
      </c>
      <c r="H207" s="5" t="inlineStr">
        <is>
          <t>SIN PROVEEDOR</t>
        </is>
      </c>
      <c r="I207" s="4" t="n">
        <v>1</v>
      </c>
      <c r="J207" s="5" t="inlineStr">
        <is>
          <t>RANCAGUA</t>
        </is>
      </c>
      <c r="K207" s="4" t="n">
        <v>1770</v>
      </c>
    </row>
    <row r="208">
      <c r="A208" s="2">
        <f>"119233"</f>
        <v/>
      </c>
      <c r="B208" s="2" t="inlineStr">
        <is>
          <t>HKOOB37052451</t>
        </is>
      </c>
      <c r="C208" s="2" t="inlineStr">
        <is>
          <t>14/05/2026</t>
        </is>
      </c>
      <c r="D208" s="2" t="inlineStr">
        <is>
          <t>05:44:01</t>
        </is>
      </c>
      <c r="E208" s="2" t="inlineStr">
        <is>
          <t>mayo</t>
        </is>
      </c>
      <c r="F208" s="2" t="n">
        <v>2026</v>
      </c>
      <c r="G208" s="3" t="inlineStr">
        <is>
          <t>MELIPILLA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MELIPILLA</t>
        </is>
      </c>
      <c r="K208" s="2" t="n">
        <v>1598</v>
      </c>
    </row>
    <row r="209">
      <c r="A209" s="4">
        <f>"119235"</f>
        <v/>
      </c>
      <c r="B209" s="4" t="inlineStr">
        <is>
          <t>HKOOB37052445</t>
        </is>
      </c>
      <c r="C209" s="4" t="inlineStr">
        <is>
          <t>14/05/2026</t>
        </is>
      </c>
      <c r="D209" s="4" t="inlineStr">
        <is>
          <t>06:57:08</t>
        </is>
      </c>
      <c r="E209" s="4" t="inlineStr">
        <is>
          <t>mayo</t>
        </is>
      </c>
      <c r="F209" s="4" t="n">
        <v>2026</v>
      </c>
      <c r="G209" s="5" t="inlineStr">
        <is>
          <t>RANCAGUA</t>
        </is>
      </c>
      <c r="H209" s="5" t="inlineStr">
        <is>
          <t>76252773-1/GARATE Y GARATE LIMITADA</t>
        </is>
      </c>
      <c r="I209" s="4" t="n">
        <v>1</v>
      </c>
      <c r="J209" s="5" t="inlineStr">
        <is>
          <t>RANCAGUA</t>
        </is>
      </c>
      <c r="K209" s="4" t="n">
        <v>1517</v>
      </c>
    </row>
    <row r="210">
      <c r="A210" s="2">
        <f>"119236"</f>
        <v/>
      </c>
      <c r="B210" s="2" t="inlineStr">
        <is>
          <t>HKOOB37053066</t>
        </is>
      </c>
      <c r="C210" s="2" t="inlineStr">
        <is>
          <t>14/05/2026</t>
        </is>
      </c>
      <c r="D210" s="2" t="inlineStr">
        <is>
          <t>08:12:46</t>
        </is>
      </c>
      <c r="E210" s="2" t="inlineStr">
        <is>
          <t>mayo</t>
        </is>
      </c>
      <c r="F210" s="2" t="n">
        <v>2026</v>
      </c>
      <c r="G210" s="3" t="inlineStr">
        <is>
          <t>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VALDIVIA</t>
        </is>
      </c>
      <c r="K210" s="2" t="n">
        <v>1810</v>
      </c>
    </row>
    <row r="211">
      <c r="A211" s="4">
        <f>"38309"</f>
        <v/>
      </c>
      <c r="B211" s="4" t="inlineStr">
        <is>
          <t>HKOOB37046795</t>
        </is>
      </c>
      <c r="C211" s="4" t="inlineStr">
        <is>
          <t>14/05/2026</t>
        </is>
      </c>
      <c r="D211" s="4" t="inlineStr">
        <is>
          <t>08:49:51</t>
        </is>
      </c>
      <c r="E211" s="4" t="inlineStr">
        <is>
          <t>mayo</t>
        </is>
      </c>
      <c r="F211" s="4" t="n">
        <v>2026</v>
      </c>
      <c r="G211" s="5" t="inlineStr">
        <is>
          <t>EL PINAR</t>
        </is>
      </c>
      <c r="H211" s="5" t="inlineStr">
        <is>
          <t>SIN PROVEEDOR</t>
        </is>
      </c>
      <c r="I211" s="4" t="n">
        <v>1</v>
      </c>
      <c r="J211" s="5" t="inlineStr">
        <is>
          <t>EL PINAR</t>
        </is>
      </c>
      <c r="K211" s="4" t="n">
        <v>1285</v>
      </c>
    </row>
    <row r="212">
      <c r="A212" s="2">
        <f>"38336"</f>
        <v/>
      </c>
      <c r="B212" s="2" t="inlineStr">
        <is>
          <t>HKOOB37052759</t>
        </is>
      </c>
      <c r="C212" s="2" t="inlineStr">
        <is>
          <t>14/05/2026</t>
        </is>
      </c>
      <c r="D212" s="2" t="inlineStr">
        <is>
          <t>10:27:27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1135</v>
      </c>
    </row>
    <row r="213">
      <c r="A213" s="4">
        <f>"119237"</f>
        <v/>
      </c>
      <c r="B213" s="4" t="inlineStr">
        <is>
          <t>HKOOB37052450</t>
        </is>
      </c>
      <c r="C213" s="4" t="inlineStr">
        <is>
          <t>14/05/2026</t>
        </is>
      </c>
      <c r="D213" s="4" t="inlineStr">
        <is>
          <t>10:39:46</t>
        </is>
      </c>
      <c r="E213" s="4" t="inlineStr">
        <is>
          <t>mayo</t>
        </is>
      </c>
      <c r="F213" s="4" t="n">
        <v>2026</v>
      </c>
      <c r="G213" s="5" t="inlineStr">
        <is>
          <t>PTO MONTT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</t>
        </is>
      </c>
      <c r="K213" s="4" t="n">
        <v>1658</v>
      </c>
    </row>
    <row r="214">
      <c r="A214" s="2">
        <f>"119238"</f>
        <v/>
      </c>
      <c r="B214" s="2" t="inlineStr">
        <is>
          <t>HKOOB37052772</t>
        </is>
      </c>
      <c r="C214" s="2" t="inlineStr">
        <is>
          <t>14/05/2026</t>
        </is>
      </c>
      <c r="D214" s="2" t="inlineStr">
        <is>
          <t>10:54:00</t>
        </is>
      </c>
      <c r="E214" s="2" t="inlineStr">
        <is>
          <t>mayo</t>
        </is>
      </c>
      <c r="F214" s="2" t="n">
        <v>2026</v>
      </c>
      <c r="G214" s="3" t="inlineStr">
        <is>
          <t>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IQUIQUE</t>
        </is>
      </c>
      <c r="K214" s="2" t="n">
        <v>1920</v>
      </c>
    </row>
    <row r="215">
      <c r="A215" s="4">
        <f>"119240"</f>
        <v/>
      </c>
      <c r="B215" s="4" t="inlineStr">
        <is>
          <t>HKOOB37052442</t>
        </is>
      </c>
      <c r="C215" s="4" t="inlineStr">
        <is>
          <t>14/05/2026</t>
        </is>
      </c>
      <c r="D215" s="4" t="inlineStr">
        <is>
          <t>13:02:11</t>
        </is>
      </c>
      <c r="E215" s="4" t="inlineStr">
        <is>
          <t>mayo</t>
        </is>
      </c>
      <c r="F215" s="4" t="n">
        <v>2026</v>
      </c>
      <c r="G215" s="5" t="inlineStr">
        <is>
          <t>LOS ANGELES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</t>
        </is>
      </c>
      <c r="K215" s="4" t="n">
        <v>1478</v>
      </c>
    </row>
    <row r="216">
      <c r="A216" s="2">
        <f>"119241"</f>
        <v/>
      </c>
      <c r="B216" s="2" t="inlineStr">
        <is>
          <t>HKOOB37052456</t>
        </is>
      </c>
      <c r="C216" s="2" t="inlineStr">
        <is>
          <t>14/05/2026</t>
        </is>
      </c>
      <c r="D216" s="2" t="inlineStr">
        <is>
          <t>13:33:14</t>
        </is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1558</v>
      </c>
    </row>
    <row r="217">
      <c r="A217" s="4">
        <f>"119242"</f>
        <v/>
      </c>
      <c r="B217" s="4" t="inlineStr">
        <is>
          <t>HKOOB37052453</t>
        </is>
      </c>
      <c r="C217" s="4" t="inlineStr">
        <is>
          <t>14/05/2026</t>
        </is>
      </c>
      <c r="D217" s="4" t="inlineStr">
        <is>
          <t>17:06:59</t>
        </is>
      </c>
      <c r="E217" s="4" t="inlineStr">
        <is>
          <t>mayo</t>
        </is>
      </c>
      <c r="F217" s="4" t="n">
        <v>2026</v>
      </c>
      <c r="G217" s="5" t="inlineStr">
        <is>
          <t>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TEMUCO</t>
        </is>
      </c>
      <c r="K217" s="4" t="n">
        <v>1752</v>
      </c>
    </row>
    <row r="218">
      <c r="A218" s="2">
        <f>"119244"</f>
        <v/>
      </c>
      <c r="B218" s="2" t="inlineStr">
        <is>
          <t>HKOOB37053076</t>
        </is>
      </c>
      <c r="C218" s="2" t="inlineStr">
        <is>
          <t>14/05/2026</t>
        </is>
      </c>
      <c r="D218" s="2" t="inlineStr">
        <is>
          <t>17:57:27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CONCEPCION</t>
        </is>
      </c>
      <c r="K218" s="2" t="n">
        <v>1470</v>
      </c>
    </row>
    <row r="219">
      <c r="A219" s="4">
        <f>"119245"</f>
        <v/>
      </c>
      <c r="B219" s="4" t="inlineStr">
        <is>
          <t>HKOOB37052449</t>
        </is>
      </c>
      <c r="C219" s="4" t="inlineStr">
        <is>
          <t>14/05/2026</t>
        </is>
      </c>
      <c r="D219" s="4" t="inlineStr">
        <is>
          <t>18:37:29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1856</v>
      </c>
    </row>
    <row r="220">
      <c r="A220" s="2">
        <f>"119247"</f>
        <v/>
      </c>
      <c r="B220" s="2" t="inlineStr">
        <is>
          <t>HKOOB37053075</t>
        </is>
      </c>
      <c r="C220" s="2" t="inlineStr">
        <is>
          <t>14/05/2026</t>
        </is>
      </c>
      <c r="D220" s="2" t="inlineStr">
        <is>
          <t>19:45:35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2004</v>
      </c>
    </row>
    <row r="221">
      <c r="A221" s="4">
        <f>"119246"</f>
        <v/>
      </c>
      <c r="B221" s="4" t="inlineStr">
        <is>
          <t>HKOOB37052567</t>
        </is>
      </c>
      <c r="C221" s="4" t="inlineStr">
        <is>
          <t>14/05/2026</t>
        </is>
      </c>
      <c r="D221" s="4" t="inlineStr">
        <is>
          <t>20:47:11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1577</v>
      </c>
    </row>
    <row r="222">
      <c r="A222" s="2">
        <f>"119087"</f>
        <v/>
      </c>
      <c r="B222" s="2" t="inlineStr">
        <is>
          <t>CHKO372924 / HKOOB36982949</t>
        </is>
      </c>
      <c r="C222" s="2" t="inlineStr">
        <is>
          <t>06/05/2026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1868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"119142"</f>
        <v/>
      </c>
      <c r="B226" s="2" t="inlineStr">
        <is>
          <t>CHKO373309 / CHKO373325 / HKOOB36985272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ARICA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ANTOFAGASTA / ARICA</t>
        </is>
      </c>
      <c r="K226" s="2" t="n">
        <v>1716</v>
      </c>
    </row>
    <row r="227">
      <c r="A227" s="4">
        <f>"119173"</f>
        <v/>
      </c>
      <c r="B227" s="4" t="inlineStr">
        <is>
          <t>CHKO373624 / HKOOB37011942</t>
        </is>
      </c>
      <c r="C227" s="4" t="inlineStr">
        <is>
          <t>11/05/2026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1664</v>
      </c>
    </row>
    <row r="228">
      <c r="A228" s="2">
        <f>"119195"</f>
        <v/>
      </c>
      <c r="B228" s="2" t="inlineStr">
        <is>
          <t>CHKO373384 / HKOOB37037365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1786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>
        <f>"119239"</f>
        <v/>
      </c>
      <c r="B230" s="2" t="inlineStr">
        <is>
          <t>CHKO373825 / CHKO373844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1679</v>
      </c>
    </row>
    <row r="231">
      <c r="A231" s="4">
        <f>"119243"</f>
        <v/>
      </c>
      <c r="B231" s="4" t="inlineStr">
        <is>
          <t>CHKO373749 / CHKO373845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SAN FERNANDO / TALCA</t>
        </is>
      </c>
      <c r="H231" s="5" t="inlineStr">
        <is>
          <t>76252773-1/GARATE Y GARATE LIMITADA</t>
        </is>
      </c>
      <c r="I231" s="4" t="n">
        <v>1</v>
      </c>
      <c r="J231" s="5" t="inlineStr">
        <is>
          <t>SAN FERNANDO / TALCA</t>
        </is>
      </c>
      <c r="K231" s="4" t="n">
        <v>1627</v>
      </c>
    </row>
    <row r="232">
      <c r="A232" s="2" t="inlineStr">
        <is>
          <t>LAS</t>
        </is>
      </c>
      <c r="B232" s="2" t="inlineStr">
        <is>
          <t>HKOOB36985602 / HKOOB36985610 / HKOOB36991771 / HKOOB36991772 / HKOOB36997597 / HKOOB36997604 / HKOOB37004439 / HKOOB37004444 / HKOOB37004446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11269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2026-05-15T04:45:19Z</dcterms:created>
  <dcterms:modified xmlns:dcterms="http://purl.org/dc/terms/" xmlns:xsi="http://www.w3.org/2001/XMLSchema-instance" xsi:type="dcterms:W3CDTF">2026-05-15T04:45:19Z</dcterms:modified>
</cp:coreProperties>
</file>