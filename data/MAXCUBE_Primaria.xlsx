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"119266"</f>
        <v/>
      </c>
      <c r="B240" s="2" t="inlineStr">
        <is>
          <t>HKOOB37058751</t>
        </is>
      </c>
      <c r="C240" s="2" t="inlineStr">
        <is>
          <t>15/05/2026</t>
        </is>
      </c>
      <c r="D240" s="2" t="inlineStr">
        <is>
          <t>19:59:49</t>
        </is>
      </c>
      <c r="E240" s="2" t="inlineStr">
        <is>
          <t>mayo</t>
        </is>
      </c>
      <c r="F240" s="2" t="n">
        <v>2026</v>
      </c>
      <c r="G240" s="3" t="inlineStr">
        <is>
          <t>VINA DEL MAR</t>
        </is>
      </c>
      <c r="H240" s="3" t="inlineStr">
        <is>
          <t>16575553-7/GABRIEL ALEJANDRO ESTAY CARRAZANA</t>
        </is>
      </c>
      <c r="I240" s="2" t="n">
        <v>1</v>
      </c>
      <c r="J240" s="3" t="inlineStr">
        <is>
          <t>VINA DEL MAR</t>
        </is>
      </c>
      <c r="K240" s="2" t="n">
        <v>1669</v>
      </c>
    </row>
    <row r="241">
      <c r="A241" s="4">
        <f>"119267"</f>
        <v/>
      </c>
      <c r="B241" s="4" t="inlineStr">
        <is>
          <t>HKOOB37058560</t>
        </is>
      </c>
      <c r="C241" s="4" t="inlineStr">
        <is>
          <t>15/05/2026</t>
        </is>
      </c>
      <c r="D241" s="4" t="inlineStr">
        <is>
          <t>20:43:28</t>
        </is>
      </c>
      <c r="E241" s="4" t="inlineStr">
        <is>
          <t>mayo</t>
        </is>
      </c>
      <c r="F241" s="4" t="n">
        <v>2026</v>
      </c>
      <c r="G241" s="5" t="inlineStr">
        <is>
          <t>CHILLAN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</t>
        </is>
      </c>
      <c r="K241" s="4" t="n">
        <v>1866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"119142"</f>
        <v/>
      </c>
      <c r="B246" s="2" t="inlineStr">
        <is>
          <t>CHKO373309 / CHKO373325 / HKOOB36985272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 / ARICA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ANTOFAGASTA / ARICA</t>
        </is>
      </c>
      <c r="K246" s="2" t="n">
        <v>1716</v>
      </c>
    </row>
    <row r="247">
      <c r="A247" s="4">
        <f>"119173"</f>
        <v/>
      </c>
      <c r="B247" s="4" t="inlineStr">
        <is>
          <t>CHKO373624 / HKOOB37011942</t>
        </is>
      </c>
      <c r="C247" s="4" t="inlineStr">
        <is>
          <t>11/05/2026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1664</v>
      </c>
    </row>
    <row r="248">
      <c r="A248" s="2">
        <f>"119195"</f>
        <v/>
      </c>
      <c r="B248" s="2" t="inlineStr">
        <is>
          <t>CHKO373384 / HKOOB37037365</t>
        </is>
      </c>
      <c r="C248" s="2" t="inlineStr">
        <is>
          <t>12/05/2026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IQUIQUE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ANTOFAGASTA / IQUIQUE</t>
        </is>
      </c>
      <c r="K248" s="2" t="n">
        <v>1786</v>
      </c>
    </row>
    <row r="249">
      <c r="A249" s="4">
        <f>"119212"</f>
        <v/>
      </c>
      <c r="B249" s="4" t="inlineStr">
        <is>
          <t>CHKO373745 / HKOOB37043861</t>
        </is>
      </c>
      <c r="C249" s="4" t="inlineStr">
        <is>
          <t>13/05/2026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RUTA SOLITARIA ELPAC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RUTA SOLITARIA ELPAC</t>
        </is>
      </c>
      <c r="K249" s="4" t="n">
        <v>1739</v>
      </c>
    </row>
    <row r="250">
      <c r="A250" s="2">
        <f>"119239"</f>
        <v/>
      </c>
      <c r="B250" s="2" t="inlineStr">
        <is>
          <t>CHKO373825 / CHKO373844</t>
        </is>
      </c>
      <c r="C250" s="2" t="inlineStr">
        <is>
          <t>14/05/2026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VALDIVIA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VALDIVIA</t>
        </is>
      </c>
      <c r="K250" s="2" t="n">
        <v>1679</v>
      </c>
    </row>
    <row r="251">
      <c r="A251" s="4">
        <f>"119243"</f>
        <v/>
      </c>
      <c r="B251" s="4" t="inlineStr">
        <is>
          <t>CHKO373749 / CHKO373845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SAN FERNANDO / TALCA</t>
        </is>
      </c>
      <c r="H251" s="5" t="inlineStr">
        <is>
          <t>76252773-1/GARATE Y GARATE LIMITADA</t>
        </is>
      </c>
      <c r="I251" s="4" t="n">
        <v>1</v>
      </c>
      <c r="J251" s="5" t="inlineStr">
        <is>
          <t>SAN FERNANDO / TALCA</t>
        </is>
      </c>
      <c r="K251" s="4" t="n">
        <v>1627</v>
      </c>
    </row>
    <row r="252">
      <c r="A252" s="2">
        <f>"119255"</f>
        <v/>
      </c>
      <c r="B252" s="2" t="inlineStr">
        <is>
          <t>CHKO373695 / CHKO373826</t>
        </is>
      </c>
      <c r="C252" s="2" t="inlineStr">
        <is>
          <t>15/05/2026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LOS ANGELES / TEMUCO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LOS ANGELES / TEMUCO</t>
        </is>
      </c>
      <c r="K252" s="2" t="n">
        <v>1532</v>
      </c>
    </row>
    <row r="253">
      <c r="A253" s="4">
        <f>"119258"</f>
        <v/>
      </c>
      <c r="B253" s="4" t="inlineStr">
        <is>
          <t>CHKO373754 / CHKO373867 / CHKO373905</t>
        </is>
      </c>
      <c r="C253" s="4" t="inlineStr">
        <is>
          <t>15/05/2026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LA SERENA / RUTA SOLITARIA 1059 LV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LA SERENA / RUTA SOLITARIA 1059 LV</t>
        </is>
      </c>
      <c r="K253" s="4" t="n">
        <v>1708</v>
      </c>
    </row>
    <row r="254">
      <c r="A254" s="2">
        <f>"119261"</f>
        <v/>
      </c>
      <c r="B254" s="2" t="inlineStr">
        <is>
          <t>HKOOB37052768 / HKOOB37058514</t>
        </is>
      </c>
      <c r="C254" s="2" t="inlineStr">
        <is>
          <t>15/05/2026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COPIAPO / LA SERENA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COPIAPO / LA SERENA</t>
        </is>
      </c>
      <c r="K254" s="2" t="n">
        <v>1605</v>
      </c>
    </row>
    <row r="255">
      <c r="A255" s="4" t="inlineStr">
        <is>
          <t>LAS</t>
        </is>
      </c>
      <c r="B255" s="4" t="inlineStr">
        <is>
          <t>HKOOB36985602 / HKOOB36985610 / HKOOB36991771 / HKOOB36991772 / HKOOB36997597 / HKOOB36997604 / HKOOB37004439 / HKOOB37004444 / HKOOB37004446 / HKOOB37058740 / HKOOB37058741</t>
        </is>
      </c>
      <c r="C255" s="4" t="inlineStr">
        <is>
          <t>12/05/2026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LO ESPEJO / VINA DEL MAR</t>
        </is>
      </c>
      <c r="H255" s="5" t="inlineStr">
        <is>
          <t>SIN PROVEEDOR</t>
        </is>
      </c>
      <c r="I255" s="4" t="n">
        <v>1</v>
      </c>
      <c r="J255" s="5" t="inlineStr">
        <is>
          <t>LO ESPEJO / VINA DEL MAR</t>
        </is>
      </c>
      <c r="K255" s="4" t="n">
        <v>13769</v>
      </c>
    </row>
  </sheetData>
  <autoFilter ref="A1:K2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2026-05-16T01:20:17Z</dcterms:created>
  <dcterms:modified xmlns:dcterms="http://purl.org/dc/terms/" xmlns:xsi="http://www.w3.org/2001/XMLSchema-instance" xsi:type="dcterms:W3CDTF">2026-05-16T01:20:17Z</dcterms:modified>
</cp:coreProperties>
</file>