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"119069"</f>
        <v/>
      </c>
      <c r="B201" s="4" t="inlineStr">
        <is>
          <t>CHKO372804 / CHKO372827</t>
        </is>
      </c>
      <c r="C201" s="4" t="inlineStr">
        <is>
          <t>05/05/2026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LA SERENA / RUTA SOLITARIA 1059 LV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LA SERENA / RUTA SOLITARIA 1059 LV</t>
        </is>
      </c>
      <c r="K201" s="4" t="n">
        <v>1543</v>
      </c>
    </row>
    <row r="202">
      <c r="A202" s="2">
        <f>"119087"</f>
        <v/>
      </c>
      <c r="B202" s="2" t="inlineStr">
        <is>
          <t>CHKO372924 / HKOOB36982949</t>
        </is>
      </c>
      <c r="C202" s="2" t="inlineStr">
        <is>
          <t>06/05/2026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PTO MONTT / RUTA SOLITARIA ELPAC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 / RUTA SOLITARIA ELPAC</t>
        </is>
      </c>
      <c r="K202" s="2" t="n">
        <v>1868</v>
      </c>
    </row>
    <row r="203">
      <c r="A203" s="4">
        <f>"119112"</f>
        <v/>
      </c>
      <c r="B203" s="4" t="inlineStr">
        <is>
          <t>HKOOB36994400 / HKOOB36994408</t>
        </is>
      </c>
      <c r="C203" s="4" t="inlineStr">
        <is>
          <t>07/05/2026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PTO MONTT / VALDIVIA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PTO MONTT / VALDIVIA</t>
        </is>
      </c>
      <c r="K203" s="4" t="n">
        <v>1247</v>
      </c>
    </row>
    <row r="204">
      <c r="A204" s="2">
        <f>"119113"</f>
        <v/>
      </c>
      <c r="B204" s="2" t="inlineStr">
        <is>
          <t>CHKO373144 / HKOOB36991739</t>
        </is>
      </c>
      <c r="C204" s="2" t="inlineStr">
        <is>
          <t>07/05/2026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CHILLAN / TALCA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CHILLAN / TALCA</t>
        </is>
      </c>
      <c r="K204" s="2" t="n">
        <v>1626</v>
      </c>
    </row>
    <row r="205">
      <c r="A205" s="4">
        <f>"119118"</f>
        <v/>
      </c>
      <c r="B205" s="4" t="inlineStr">
        <is>
          <t>CHKO373029 / CHKO373166 / HKOOB36991777</t>
        </is>
      </c>
      <c r="C205" s="4" t="inlineStr">
        <is>
          <t>07/05/2026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LA SERENA / RUTA SOLITARIA 1059 LV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LA SERENA / RUTA SOLITARIA 1059 LV</t>
        </is>
      </c>
      <c r="K205" s="4" t="n">
        <v>1570</v>
      </c>
    </row>
    <row r="206">
      <c r="A206" s="2">
        <f>"119133"</f>
        <v/>
      </c>
      <c r="B206" s="2" t="inlineStr">
        <is>
          <t>CHKO373305 / HKOOB36974928</t>
        </is>
      </c>
      <c r="C206" s="2" t="inlineStr">
        <is>
          <t>08/05/2026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LOS ANGELES / 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LOS ANGELES / TEMUCO</t>
        </is>
      </c>
      <c r="K206" s="2" t="n">
        <v>1569</v>
      </c>
    </row>
    <row r="207">
      <c r="A207" s="4">
        <f>"119142"</f>
        <v/>
      </c>
      <c r="B207" s="4" t="inlineStr">
        <is>
          <t>CHKO373309 / CHKO373325 / HKOOB36985272</t>
        </is>
      </c>
      <c r="C207" s="4" t="inlineStr">
        <is>
          <t>08/05/2026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ANTOFAGASTA / ARICA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ANTOFAGASTA / ARICA</t>
        </is>
      </c>
      <c r="K207" s="4" t="n">
        <v>1716</v>
      </c>
    </row>
    <row r="208">
      <c r="A208" s="2">
        <f>"119173"</f>
        <v/>
      </c>
      <c r="B208" s="2" t="inlineStr">
        <is>
          <t>CHKO373624 / HKOOB37011942</t>
        </is>
      </c>
      <c r="C208" s="2" t="inlineStr">
        <is>
          <t>11/05/2026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PTO MONTT / VALDIVIA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PTO MONTT / VALDIVIA</t>
        </is>
      </c>
      <c r="K208" s="2" t="n">
        <v>1664</v>
      </c>
    </row>
    <row r="209">
      <c r="A209" s="4">
        <f>"119195"</f>
        <v/>
      </c>
      <c r="B209" s="4" t="inlineStr">
        <is>
          <t>CHKO373384 / HKOOB37037365</t>
        </is>
      </c>
      <c r="C209" s="4" t="inlineStr">
        <is>
          <t>12/05/2026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IQUIQUE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ANTOFAGASTA / IQUIQUE</t>
        </is>
      </c>
      <c r="K209" s="4" t="n">
        <v>1786</v>
      </c>
    </row>
    <row r="210">
      <c r="A210" s="2">
        <f>"119212"</f>
        <v/>
      </c>
      <c r="B210" s="2" t="inlineStr">
        <is>
          <t>CHKO373745 / HKOOB37043861</t>
        </is>
      </c>
      <c r="C210" s="2" t="inlineStr">
        <is>
          <t>13/05/2026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RUTA SOLITARIA ELPAC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RUTA SOLITARIA ELPAC</t>
        </is>
      </c>
      <c r="K210" s="2" t="n">
        <v>1739</v>
      </c>
    </row>
    <row r="211">
      <c r="A211" s="4" t="inlineStr">
        <is>
          <t>LAS</t>
        </is>
      </c>
      <c r="B211" s="4" t="inlineStr">
        <is>
          <t>HKOOB36985602 / HKOOB36985610 / HKOOB36991771 / HKOOB36991772 / HKOOB36997597 / HKOOB36997604 / HKOOB37004439 / HKOOB37004444 / HKOOB37004446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LO ESPEJO / VINA DEL MAR</t>
        </is>
      </c>
      <c r="H211" s="5" t="inlineStr">
        <is>
          <t>SIN PROVEEDOR</t>
        </is>
      </c>
      <c r="I211" s="4" t="n">
        <v>1</v>
      </c>
      <c r="J211" s="5" t="inlineStr">
        <is>
          <t>LO ESPEJO / VINA DEL MAR</t>
        </is>
      </c>
      <c r="K211" s="4" t="n">
        <v>11269</v>
      </c>
    </row>
  </sheetData>
  <autoFilter ref="A1:K2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2026-05-13T10:25:33Z</dcterms:created>
  <dcterms:modified xmlns:dcterms="http://purl.org/dc/terms/" xmlns:xsi="http://www.w3.org/2001/XMLSchema-instance" xsi:type="dcterms:W3CDTF">2026-05-13T10:25:33Z</dcterms:modified>
</cp:coreProperties>
</file>