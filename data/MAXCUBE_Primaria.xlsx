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"119040"</f>
        <v/>
      </c>
      <c r="B2" s="2" t="inlineStr">
        <is>
          <t>HKOOB36963222</t>
        </is>
      </c>
      <c r="C2" s="2" t="inlineStr">
        <is>
          <t>03/05/2026</t>
        </is>
      </c>
      <c r="D2" s="2" t="inlineStr">
        <is>
          <t>04:01:39</t>
        </is>
      </c>
      <c r="E2" s="2" t="inlineStr">
        <is>
          <t>mayo</t>
        </is>
      </c>
      <c r="F2" s="2" t="n">
        <v>2026</v>
      </c>
      <c r="G2" s="3" t="inlineStr">
        <is>
          <t>TEMUCO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TEMUCO</t>
        </is>
      </c>
      <c r="K2" s="2" t="n">
        <v>1686</v>
      </c>
    </row>
    <row r="3">
      <c r="A3" s="4">
        <f>"119041"</f>
        <v/>
      </c>
      <c r="B3" s="4" t="inlineStr">
        <is>
          <t>HKOOB36963213</t>
        </is>
      </c>
      <c r="C3" s="4" t="inlineStr">
        <is>
          <t>03/05/2026</t>
        </is>
      </c>
      <c r="D3" s="4" t="inlineStr">
        <is>
          <t>04:45:01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1768</v>
      </c>
    </row>
    <row r="4">
      <c r="A4" s="2">
        <f>"119042"</f>
        <v/>
      </c>
      <c r="B4" s="2" t="inlineStr">
        <is>
          <t>HKOOB36963206</t>
        </is>
      </c>
      <c r="C4" s="2" t="inlineStr">
        <is>
          <t>03/05/2026</t>
        </is>
      </c>
      <c r="D4" s="2" t="inlineStr">
        <is>
          <t>05:44:07</t>
        </is>
      </c>
      <c r="E4" s="2" t="inlineStr">
        <is>
          <t>mayo</t>
        </is>
      </c>
      <c r="F4" s="2" t="n">
        <v>2026</v>
      </c>
      <c r="G4" s="3" t="inlineStr">
        <is>
          <t>LOS ANGELES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LOS ANGELES</t>
        </is>
      </c>
      <c r="K4" s="2" t="n">
        <v>1488</v>
      </c>
    </row>
    <row r="5">
      <c r="A5" s="4">
        <f>"119043"</f>
        <v/>
      </c>
      <c r="B5" s="4" t="inlineStr">
        <is>
          <t>HKOOB36963202</t>
        </is>
      </c>
      <c r="C5" s="4" t="inlineStr">
        <is>
          <t>03/05/2026</t>
        </is>
      </c>
      <c r="D5" s="4" t="inlineStr">
        <is>
          <t>05:49:14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1558</v>
      </c>
    </row>
    <row r="6">
      <c r="A6" s="2">
        <f>"119037"</f>
        <v/>
      </c>
      <c r="B6" s="2" t="inlineStr">
        <is>
          <t>CHKO372685</t>
        </is>
      </c>
      <c r="C6" s="2" t="inlineStr">
        <is>
          <t>03/05/2026</t>
        </is>
      </c>
      <c r="D6" s="2" t="inlineStr">
        <is>
          <t>06:40:18</t>
        </is>
      </c>
      <c r="E6" s="2" t="inlineStr">
        <is>
          <t>mayo</t>
        </is>
      </c>
      <c r="F6" s="2" t="n">
        <v>2026</v>
      </c>
      <c r="G6" s="3" t="inlineStr">
        <is>
          <t>RANCAGUA</t>
        </is>
      </c>
      <c r="H6" s="3" t="inlineStr">
        <is>
          <t>SIN PROVEEDOR</t>
        </is>
      </c>
      <c r="I6" s="2" t="n">
        <v>1</v>
      </c>
      <c r="J6" s="3" t="inlineStr">
        <is>
          <t>RANCAGUA</t>
        </is>
      </c>
      <c r="K6" s="2" t="n">
        <v>11</v>
      </c>
    </row>
    <row r="7">
      <c r="A7" s="4">
        <f>"119046"</f>
        <v/>
      </c>
      <c r="B7" s="4" t="inlineStr">
        <is>
          <t>HKOOB36963211</t>
        </is>
      </c>
      <c r="C7" s="4" t="inlineStr">
        <is>
          <t>03/05/2026</t>
        </is>
      </c>
      <c r="D7" s="4" t="inlineStr">
        <is>
          <t>13:15:54</t>
        </is>
      </c>
      <c r="E7" s="4" t="inlineStr">
        <is>
          <t>mayo</t>
        </is>
      </c>
      <c r="F7" s="4" t="n">
        <v>2026</v>
      </c>
      <c r="G7" s="5" t="inlineStr">
        <is>
          <t>COPIAPO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COPIAPO</t>
        </is>
      </c>
      <c r="K7" s="4" t="n">
        <v>1734</v>
      </c>
    </row>
    <row r="8">
      <c r="A8" s="2">
        <f>"119048"</f>
        <v/>
      </c>
      <c r="B8" s="2" t="inlineStr">
        <is>
          <t>HKOOB36963809</t>
        </is>
      </c>
      <c r="C8" s="2" t="inlineStr">
        <is>
          <t>04/05/2026</t>
        </is>
      </c>
      <c r="D8" s="2" t="inlineStr">
        <is>
          <t>09:22:01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1746</v>
      </c>
    </row>
    <row r="9">
      <c r="A9" s="4">
        <f>"119049"</f>
        <v/>
      </c>
      <c r="B9" s="4" t="inlineStr">
        <is>
          <t>HKOOB36963808</t>
        </is>
      </c>
      <c r="C9" s="4" t="inlineStr">
        <is>
          <t>04/05/2026</t>
        </is>
      </c>
      <c r="D9" s="4" t="inlineStr">
        <is>
          <t>10:29:26</t>
        </is>
      </c>
      <c r="E9" s="4" t="inlineStr">
        <is>
          <t>mayo</t>
        </is>
      </c>
      <c r="F9" s="4" t="n">
        <v>2026</v>
      </c>
      <c r="G9" s="5" t="inlineStr">
        <is>
          <t>OSORNO</t>
        </is>
      </c>
      <c r="H9" s="5" t="inlineStr">
        <is>
          <t>77636200-K/TRANSPORTES SAN GABRIEL LTDA.</t>
        </is>
      </c>
      <c r="I9" s="4" t="n">
        <v>1</v>
      </c>
      <c r="J9" s="5" t="inlineStr">
        <is>
          <t>OSORNO</t>
        </is>
      </c>
      <c r="K9" s="4" t="n">
        <v>1673</v>
      </c>
    </row>
    <row r="10">
      <c r="A10" s="2">
        <f>"119051"</f>
        <v/>
      </c>
      <c r="B10" s="2" t="inlineStr">
        <is>
          <t>HKOOB36963217</t>
        </is>
      </c>
      <c r="C10" s="2" t="inlineStr">
        <is>
          <t>04/05/2026</t>
        </is>
      </c>
      <c r="D10" s="2" t="inlineStr">
        <is>
          <t>12:36:21</t>
        </is>
      </c>
      <c r="E10" s="2" t="inlineStr">
        <is>
          <t>mayo</t>
        </is>
      </c>
      <c r="F10" s="2" t="n">
        <v>2026</v>
      </c>
      <c r="G10" s="3" t="inlineStr">
        <is>
          <t>LA SERENA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LA SERENA</t>
        </is>
      </c>
      <c r="K10" s="2" t="n">
        <v>1756</v>
      </c>
    </row>
    <row r="11">
      <c r="A11" s="4">
        <f>"119052"</f>
        <v/>
      </c>
      <c r="B11" s="4" t="inlineStr">
        <is>
          <t>HKOOB36963203</t>
        </is>
      </c>
      <c r="C11" s="4" t="inlineStr">
        <is>
          <t>04/05/2026</t>
        </is>
      </c>
      <c r="D11" s="4" t="inlineStr">
        <is>
          <t>14:06:22</t>
        </is>
      </c>
      <c r="E11" s="4" t="inlineStr">
        <is>
          <t>mayo</t>
        </is>
      </c>
      <c r="F11" s="4" t="n">
        <v>2026</v>
      </c>
      <c r="G11" s="5" t="inlineStr">
        <is>
          <t>TALCA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TALCA</t>
        </is>
      </c>
      <c r="K11" s="4" t="n">
        <v>1711</v>
      </c>
    </row>
    <row r="12">
      <c r="A12" s="2">
        <f>"119053"</f>
        <v/>
      </c>
      <c r="B12" s="2" t="inlineStr">
        <is>
          <t>HKOOB36963220</t>
        </is>
      </c>
      <c r="C12" s="2" t="inlineStr">
        <is>
          <t>04/05/2026</t>
        </is>
      </c>
      <c r="D12" s="2" t="inlineStr">
        <is>
          <t>14:12:18</t>
        </is>
      </c>
      <c r="E12" s="2" t="inlineStr">
        <is>
          <t>mayo</t>
        </is>
      </c>
      <c r="F12" s="2" t="n">
        <v>2026</v>
      </c>
      <c r="G12" s="3" t="inlineStr">
        <is>
          <t>SAN FERNANDO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SAN FERNANDO</t>
        </is>
      </c>
      <c r="K12" s="2" t="n">
        <v>412</v>
      </c>
    </row>
    <row r="13">
      <c r="A13" s="4">
        <f>"37067"</f>
        <v/>
      </c>
      <c r="B13" s="4" t="inlineStr">
        <is>
          <t>HKOOB36963781</t>
        </is>
      </c>
      <c r="C13" s="4" t="inlineStr">
        <is>
          <t>04/05/2026</t>
        </is>
      </c>
      <c r="D13" s="4" t="inlineStr">
        <is>
          <t>15:36:06</t>
        </is>
      </c>
      <c r="E13" s="4" t="inlineStr">
        <is>
          <t>mayo</t>
        </is>
      </c>
      <c r="F13" s="4" t="n">
        <v>2026</v>
      </c>
      <c r="G13" s="5" t="inlineStr">
        <is>
          <t>LO ESPEJO</t>
        </is>
      </c>
      <c r="H13" s="5" t="inlineStr">
        <is>
          <t>SIN PROVEEDOR</t>
        </is>
      </c>
      <c r="I13" s="4" t="n">
        <v>1</v>
      </c>
      <c r="J13" s="5" t="inlineStr">
        <is>
          <t>LO ESPEJO</t>
        </is>
      </c>
      <c r="K13" s="4" t="n">
        <v>1512</v>
      </c>
    </row>
    <row r="14">
      <c r="A14" s="2">
        <f>"37072"</f>
        <v/>
      </c>
      <c r="B14" s="2" t="inlineStr">
        <is>
          <t>HKOOB36963780</t>
        </is>
      </c>
      <c r="C14" s="2" t="inlineStr">
        <is>
          <t>04/05/2026</t>
        </is>
      </c>
      <c r="D14" s="2" t="inlineStr">
        <is>
          <t>15:36:23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inlineStr">
        <is>
          <t>SIN PROVEEDOR</t>
        </is>
      </c>
      <c r="I14" s="2" t="n">
        <v>1</v>
      </c>
      <c r="J14" s="3" t="inlineStr">
        <is>
          <t>LO ESPEJO</t>
        </is>
      </c>
      <c r="K14" s="2" t="n">
        <v>1598</v>
      </c>
    </row>
    <row r="15">
      <c r="A15" s="4">
        <f>"119054"</f>
        <v/>
      </c>
      <c r="B15" s="4" t="inlineStr">
        <is>
          <t>HKOOB36974923</t>
        </is>
      </c>
      <c r="C15" s="4" t="inlineStr">
        <is>
          <t>04/05/2026</t>
        </is>
      </c>
      <c r="D15" s="4" t="inlineStr">
        <is>
          <t>17:01:37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1698</v>
      </c>
    </row>
    <row r="16">
      <c r="A16" s="2">
        <f>"119055"</f>
        <v/>
      </c>
      <c r="B16" s="2" t="inlineStr">
        <is>
          <t>HKOOB36963214</t>
        </is>
      </c>
      <c r="C16" s="2" t="inlineStr">
        <is>
          <t>04/05/2026</t>
        </is>
      </c>
      <c r="D16" s="2" t="inlineStr">
        <is>
          <t>18:23:54</t>
        </is>
      </c>
      <c r="E16" s="2" t="inlineStr">
        <is>
          <t>mayo</t>
        </is>
      </c>
      <c r="F16" s="2" t="n">
        <v>2026</v>
      </c>
      <c r="G16" s="3" t="inlineStr">
        <is>
          <t>CHILLAN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CHILLAN</t>
        </is>
      </c>
      <c r="K16" s="2" t="n">
        <v>1556</v>
      </c>
    </row>
    <row r="17">
      <c r="A17" s="4">
        <f>"37083"</f>
        <v/>
      </c>
      <c r="B17" s="4" t="inlineStr">
        <is>
          <t>HKOOB36963795</t>
        </is>
      </c>
      <c r="C17" s="4" t="inlineStr">
        <is>
          <t>04/05/2026</t>
        </is>
      </c>
      <c r="D17" s="4" t="inlineStr">
        <is>
          <t>19:00:00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inlineStr">
        <is>
          <t>SIN PROVEEDOR</t>
        </is>
      </c>
      <c r="I17" s="4" t="n">
        <v>1</v>
      </c>
      <c r="J17" s="5" t="inlineStr">
        <is>
          <t>EL PINAR</t>
        </is>
      </c>
      <c r="K17" s="4" t="n">
        <v>765</v>
      </c>
    </row>
    <row r="18">
      <c r="A18" s="2">
        <f>"37089"</f>
        <v/>
      </c>
      <c r="B18" s="2" t="inlineStr">
        <is>
          <t>HKOOB36963782</t>
        </is>
      </c>
      <c r="C18" s="2" t="inlineStr">
        <is>
          <t>04/05/2026</t>
        </is>
      </c>
      <c r="D18" s="2" t="inlineStr">
        <is>
          <t>19:05:45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1188</v>
      </c>
    </row>
    <row r="19">
      <c r="A19" s="4">
        <f>"119056"</f>
        <v/>
      </c>
      <c r="B19" s="4" t="inlineStr">
        <is>
          <t>HKOOB36963215</t>
        </is>
      </c>
      <c r="C19" s="4" t="inlineStr">
        <is>
          <t>04/05/2026</t>
        </is>
      </c>
      <c r="D19" s="4" t="inlineStr">
        <is>
          <t>20:02:10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2109</v>
      </c>
    </row>
    <row r="20">
      <c r="A20" s="2">
        <f>"119057"</f>
        <v/>
      </c>
      <c r="B20" s="2" t="inlineStr">
        <is>
          <t>HKOOB36974470</t>
        </is>
      </c>
      <c r="C20" s="2" t="inlineStr">
        <is>
          <t>04/05/2026</t>
        </is>
      </c>
      <c r="D20" s="2" t="inlineStr">
        <is>
          <t>20:26:53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SIN PROVEEDOR</t>
        </is>
      </c>
      <c r="I20" s="2" t="n">
        <v>1</v>
      </c>
      <c r="J20" s="3" t="inlineStr">
        <is>
          <t>VINA DEL MAR</t>
        </is>
      </c>
      <c r="K20" s="2" t="n">
        <v>1742</v>
      </c>
    </row>
    <row r="21">
      <c r="A21" s="4">
        <f>"119058"</f>
        <v/>
      </c>
      <c r="B21" s="4" t="inlineStr">
        <is>
          <t>HKOOB36974930</t>
        </is>
      </c>
      <c r="C21" s="4" t="inlineStr">
        <is>
          <t>04/05/2026</t>
        </is>
      </c>
      <c r="D21" s="4" t="inlineStr">
        <is>
          <t>20:45:02</t>
        </is>
      </c>
      <c r="E21" s="4" t="inlineStr">
        <is>
          <t>mayo</t>
        </is>
      </c>
      <c r="F21" s="4" t="n">
        <v>2026</v>
      </c>
      <c r="G21" s="5" t="inlineStr">
        <is>
          <t>LOS ANDES</t>
        </is>
      </c>
      <c r="H21" s="5" t="inlineStr">
        <is>
          <t>77970090-9/TRANSPORTES DONA ISIDORA (LABBE)</t>
        </is>
      </c>
      <c r="I21" s="4" t="n">
        <v>1</v>
      </c>
      <c r="J21" s="5" t="inlineStr">
        <is>
          <t>LOS ANDES</t>
        </is>
      </c>
      <c r="K21" s="4" t="n">
        <v>1686</v>
      </c>
    </row>
    <row r="22">
      <c r="A22" s="2">
        <f>"37095"</f>
        <v/>
      </c>
      <c r="B22" s="2" t="inlineStr">
        <is>
          <t>HKOOB36963783</t>
        </is>
      </c>
      <c r="C22" s="2" t="inlineStr">
        <is>
          <t>04/05/2026</t>
        </is>
      </c>
      <c r="D22" s="2" t="inlineStr">
        <is>
          <t>20:54:15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1569</v>
      </c>
    </row>
    <row r="23">
      <c r="A23" s="4">
        <f>"119059"</f>
        <v/>
      </c>
      <c r="B23" s="4" t="inlineStr">
        <is>
          <t>HKOOB36974934</t>
        </is>
      </c>
      <c r="C23" s="4" t="inlineStr">
        <is>
          <t>05/05/2026</t>
        </is>
      </c>
      <c r="D23" s="4" t="inlineStr">
        <is>
          <t>00:08:56</t>
        </is>
      </c>
      <c r="E23" s="4" t="inlineStr">
        <is>
          <t>mayo</t>
        </is>
      </c>
      <c r="F23" s="4" t="n">
        <v>2026</v>
      </c>
      <c r="G23" s="5" t="inlineStr">
        <is>
          <t>PTO MONTT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PTO MONTT</t>
        </is>
      </c>
      <c r="K23" s="4" t="n">
        <v>1719</v>
      </c>
    </row>
    <row r="24">
      <c r="A24" s="2">
        <f>"37112"</f>
        <v/>
      </c>
      <c r="B24" s="2" t="inlineStr">
        <is>
          <t>HKOOB36976888</t>
        </is>
      </c>
      <c r="C24" s="2" t="inlineStr">
        <is>
          <t>05/05/2026</t>
        </is>
      </c>
      <c r="D24" s="2" t="inlineStr">
        <is>
          <t>00:13:38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1418</v>
      </c>
    </row>
    <row r="25">
      <c r="A25" s="4">
        <f>"119062"</f>
        <v/>
      </c>
      <c r="B25" s="4" t="inlineStr">
        <is>
          <t>HKOOB36974926</t>
        </is>
      </c>
      <c r="C25" s="4" t="inlineStr">
        <is>
          <t>05/05/2026</t>
        </is>
      </c>
      <c r="D25" s="4" t="inlineStr">
        <is>
          <t>02:42:16</t>
        </is>
      </c>
      <c r="E25" s="4" t="inlineStr">
        <is>
          <t>mayo</t>
        </is>
      </c>
      <c r="F25" s="4" t="n">
        <v>2026</v>
      </c>
      <c r="G25" s="5" t="inlineStr">
        <is>
          <t>TALCA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TALCA</t>
        </is>
      </c>
      <c r="K25" s="4" t="n">
        <v>1633</v>
      </c>
    </row>
    <row r="26">
      <c r="A26" s="2">
        <f>"119060"</f>
        <v/>
      </c>
      <c r="B26" s="2" t="inlineStr">
        <is>
          <t>HKOOB36976880</t>
        </is>
      </c>
      <c r="C26" s="2" t="inlineStr">
        <is>
          <t>05/05/2026</t>
        </is>
      </c>
      <c r="D26" s="2" t="inlineStr">
        <is>
          <t>03:07:28</t>
        </is>
      </c>
      <c r="E26" s="2" t="inlineStr">
        <is>
          <t>mayo</t>
        </is>
      </c>
      <c r="F26" s="2" t="n">
        <v>2026</v>
      </c>
      <c r="G26" s="3" t="inlineStr">
        <is>
          <t>VINA DEL MAR</t>
        </is>
      </c>
      <c r="H26" s="3" t="inlineStr">
        <is>
          <t>SIN PROVEEDOR</t>
        </is>
      </c>
      <c r="I26" s="2" t="n">
        <v>1</v>
      </c>
      <c r="J26" s="3" t="inlineStr">
        <is>
          <t>VINA DEL MAR</t>
        </is>
      </c>
      <c r="K26" s="2" t="n">
        <v>1640</v>
      </c>
    </row>
    <row r="27">
      <c r="A27" s="4">
        <f>"119061"</f>
        <v/>
      </c>
      <c r="B27" s="4" t="inlineStr">
        <is>
          <t>HKOOB36963209</t>
        </is>
      </c>
      <c r="C27" s="4" t="inlineStr">
        <is>
          <t>05/05/2026</t>
        </is>
      </c>
      <c r="D27" s="4" t="inlineStr">
        <is>
          <t>03:45:53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ANTOFAGASTA</t>
        </is>
      </c>
      <c r="K27" s="4" t="n">
        <v>786</v>
      </c>
    </row>
    <row r="28">
      <c r="A28" s="2">
        <f>"119064"</f>
        <v/>
      </c>
      <c r="B28" s="2" t="inlineStr">
        <is>
          <t>HKOOB36974939</t>
        </is>
      </c>
      <c r="C28" s="2" t="inlineStr">
        <is>
          <t>05/05/2026</t>
        </is>
      </c>
      <c r="D28" s="2" t="inlineStr">
        <is>
          <t>03:59:41</t>
        </is>
      </c>
      <c r="E28" s="2" t="inlineStr">
        <is>
          <t>mayo</t>
        </is>
      </c>
      <c r="F28" s="2" t="n">
        <v>2026</v>
      </c>
      <c r="G28" s="3" t="inlineStr">
        <is>
          <t>MELIPILLA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MELIPILLA</t>
        </is>
      </c>
      <c r="K28" s="2" t="n">
        <v>1706</v>
      </c>
    </row>
    <row r="29">
      <c r="A29" s="4">
        <f>"37134"</f>
        <v/>
      </c>
      <c r="B29" s="4" t="inlineStr">
        <is>
          <t>HKOOB36976889</t>
        </is>
      </c>
      <c r="C29" s="4" t="inlineStr">
        <is>
          <t>05/05/2026</t>
        </is>
      </c>
      <c r="D29" s="4" t="inlineStr">
        <is>
          <t>04:59:43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1140</v>
      </c>
    </row>
    <row r="30">
      <c r="A30" s="2">
        <f>"37149"</f>
        <v/>
      </c>
      <c r="B30" s="2" t="inlineStr">
        <is>
          <t>HKOOB36976885</t>
        </is>
      </c>
      <c r="C30" s="2" t="inlineStr">
        <is>
          <t>05/05/2026</t>
        </is>
      </c>
      <c r="D30" s="2" t="inlineStr">
        <is>
          <t>05:20:25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inlineStr">
        <is>
          <t>SIN PROVEEDOR</t>
        </is>
      </c>
      <c r="I30" s="2" t="n">
        <v>1</v>
      </c>
      <c r="J30" s="3" t="inlineStr">
        <is>
          <t>EL PINAR</t>
        </is>
      </c>
      <c r="K30" s="2" t="n">
        <v>1068</v>
      </c>
    </row>
    <row r="31">
      <c r="A31" s="4">
        <f>"119067"</f>
        <v/>
      </c>
      <c r="B31" s="4" t="inlineStr">
        <is>
          <t>CHKO372806</t>
        </is>
      </c>
      <c r="C31" s="4" t="inlineStr">
        <is>
          <t>05/05/2026</t>
        </is>
      </c>
      <c r="D31" s="4" t="inlineStr">
        <is>
          <t>05:33:01</t>
        </is>
      </c>
      <c r="E31" s="4" t="inlineStr">
        <is>
          <t>mayo</t>
        </is>
      </c>
      <c r="F31" s="4" t="n">
        <v>2026</v>
      </c>
      <c r="G31" s="5" t="inlineStr">
        <is>
          <t>COPIAPO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COPIAPO</t>
        </is>
      </c>
      <c r="K31" s="4" t="n">
        <v>450</v>
      </c>
    </row>
    <row r="32">
      <c r="A32" s="2">
        <f>"119065"</f>
        <v/>
      </c>
      <c r="B32" s="2" t="inlineStr">
        <is>
          <t>HKOOB36976881</t>
        </is>
      </c>
      <c r="C32" s="2" t="inlineStr">
        <is>
          <t>05/05/2026</t>
        </is>
      </c>
      <c r="D32" s="2" t="inlineStr">
        <is>
          <t>05:58:25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16575553-7/GABRIEL ALEJANDRO ESTAY CARRAZANA</t>
        </is>
      </c>
      <c r="I32" s="2" t="n">
        <v>1</v>
      </c>
      <c r="J32" s="3" t="inlineStr">
        <is>
          <t>VINA DEL MAR</t>
        </is>
      </c>
      <c r="K32" s="2" t="n">
        <v>1560</v>
      </c>
    </row>
    <row r="33">
      <c r="A33" s="4">
        <f>"119066"</f>
        <v/>
      </c>
      <c r="B33" s="4" t="inlineStr">
        <is>
          <t>CHKO372784</t>
        </is>
      </c>
      <c r="C33" s="4" t="inlineStr">
        <is>
          <t>05/05/2026</t>
        </is>
      </c>
      <c r="D33" s="4" t="inlineStr">
        <is>
          <t>06:25:46</t>
        </is>
      </c>
      <c r="E33" s="4" t="inlineStr">
        <is>
          <t>mayo</t>
        </is>
      </c>
      <c r="F33" s="4" t="n">
        <v>2026</v>
      </c>
      <c r="G33" s="5" t="inlineStr">
        <is>
          <t>RANCAGUA</t>
        </is>
      </c>
      <c r="H33" s="5" t="inlineStr">
        <is>
          <t>76252773-1/GARATE Y GARATE LIMITADA</t>
        </is>
      </c>
      <c r="I33" s="4" t="n">
        <v>1</v>
      </c>
      <c r="J33" s="5" t="inlineStr">
        <is>
          <t>RANCAGUA</t>
        </is>
      </c>
      <c r="K33" s="4" t="n">
        <v>1647</v>
      </c>
    </row>
    <row r="34">
      <c r="A34" s="2">
        <f>"37155"</f>
        <v/>
      </c>
      <c r="B34" s="2" t="inlineStr">
        <is>
          <t>HKOOB36976890</t>
        </is>
      </c>
      <c r="C34" s="2" t="inlineStr">
        <is>
          <t>05/05/2026</t>
        </is>
      </c>
      <c r="D34" s="2" t="inlineStr">
        <is>
          <t>07:29:54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1450</v>
      </c>
    </row>
    <row r="35">
      <c r="A35" s="4">
        <f>"119068"</f>
        <v/>
      </c>
      <c r="B35" s="4" t="inlineStr">
        <is>
          <t>HKOOB36974919</t>
        </is>
      </c>
      <c r="C35" s="4" t="inlineStr">
        <is>
          <t>05/05/2026</t>
        </is>
      </c>
      <c r="D35" s="4" t="inlineStr">
        <is>
          <t>08:42:26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1697</v>
      </c>
    </row>
    <row r="36">
      <c r="A36" s="2">
        <f>"37179"</f>
        <v/>
      </c>
      <c r="B36" s="2" t="inlineStr">
        <is>
          <t>HKOOB36976891</t>
        </is>
      </c>
      <c r="C36" s="2" t="inlineStr">
        <is>
          <t>05/05/2026</t>
        </is>
      </c>
      <c r="D36" s="2" t="inlineStr">
        <is>
          <t>09:43:45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1086</v>
      </c>
    </row>
    <row r="37">
      <c r="A37" s="4">
        <f>"38187"</f>
        <v/>
      </c>
      <c r="B37" s="4" t="inlineStr">
        <is>
          <t>HKOOB36976892</t>
        </is>
      </c>
      <c r="C37" s="4" t="inlineStr">
        <is>
          <t>05/05/2026</t>
        </is>
      </c>
      <c r="D37" s="4" t="inlineStr">
        <is>
          <t>10:57:41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1320</v>
      </c>
    </row>
    <row r="38">
      <c r="A38" s="2">
        <f>"119070"</f>
        <v/>
      </c>
      <c r="B38" s="2" t="inlineStr">
        <is>
          <t>HKOOB36963208</t>
        </is>
      </c>
      <c r="C38" s="2" t="inlineStr">
        <is>
          <t>05/05/2026</t>
        </is>
      </c>
      <c r="D38" s="2" t="inlineStr">
        <is>
          <t>13:01:51</t>
        </is>
      </c>
      <c r="E38" s="2" t="inlineStr">
        <is>
          <t>mayo</t>
        </is>
      </c>
      <c r="F38" s="2" t="n">
        <v>2026</v>
      </c>
      <c r="G38" s="3" t="inlineStr">
        <is>
          <t>ANTOFAGASTA</t>
        </is>
      </c>
      <c r="H38" s="3" t="inlineStr">
        <is>
          <t>76746317-0/TRAILER LOGISTICS SPA</t>
        </is>
      </c>
      <c r="I38" s="2" t="n">
        <v>1</v>
      </c>
      <c r="J38" s="3" t="inlineStr">
        <is>
          <t>ANTOFAGASTA</t>
        </is>
      </c>
      <c r="K38" s="2" t="n">
        <v>1991</v>
      </c>
    </row>
    <row r="39">
      <c r="A39" s="4">
        <f>"119071"</f>
        <v/>
      </c>
      <c r="B39" s="4" t="inlineStr">
        <is>
          <t>HKOOB36974927</t>
        </is>
      </c>
      <c r="C39" s="4" t="inlineStr">
        <is>
          <t>05/05/2026</t>
        </is>
      </c>
      <c r="D39" s="4" t="inlineStr">
        <is>
          <t>13:12:52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TALCA</t>
        </is>
      </c>
      <c r="K39" s="4" t="n">
        <v>1495</v>
      </c>
    </row>
    <row r="40">
      <c r="A40" s="2">
        <f>"119072"</f>
        <v/>
      </c>
      <c r="B40" s="2" t="inlineStr">
        <is>
          <t>HKOOB36974916</t>
        </is>
      </c>
      <c r="C40" s="2" t="inlineStr">
        <is>
          <t>05/05/2026</t>
        </is>
      </c>
      <c r="D40" s="2" t="inlineStr">
        <is>
          <t>14:56:55</t>
        </is>
      </c>
      <c r="E40" s="2" t="inlineStr">
        <is>
          <t>mayo</t>
        </is>
      </c>
      <c r="F40" s="2" t="n">
        <v>2026</v>
      </c>
      <c r="G40" s="3" t="inlineStr">
        <is>
          <t>CONCEPCION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CONCEPCION</t>
        </is>
      </c>
      <c r="K40" s="2" t="n">
        <v>1616</v>
      </c>
    </row>
    <row r="41">
      <c r="A41" s="4">
        <f>"37218"</f>
        <v/>
      </c>
      <c r="B41" s="4" t="inlineStr">
        <is>
          <t>HKOOB36976893</t>
        </is>
      </c>
      <c r="C41" s="4" t="inlineStr">
        <is>
          <t>05/05/2026</t>
        </is>
      </c>
      <c r="D41" s="4" t="inlineStr">
        <is>
          <t>15:28:48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inlineStr">
        <is>
          <t>SIN PROVEEDOR</t>
        </is>
      </c>
      <c r="I41" s="4" t="n">
        <v>1</v>
      </c>
      <c r="J41" s="5" t="inlineStr">
        <is>
          <t>LO ESPEJO</t>
        </is>
      </c>
      <c r="K41" s="4" t="n">
        <v>1478</v>
      </c>
    </row>
    <row r="42">
      <c r="A42" s="2">
        <f>"119074"</f>
        <v/>
      </c>
      <c r="B42" s="2" t="inlineStr">
        <is>
          <t>HKOOB36974921</t>
        </is>
      </c>
      <c r="C42" s="2" t="inlineStr">
        <is>
          <t>05/05/2026</t>
        </is>
      </c>
      <c r="D42" s="2" t="inlineStr">
        <is>
          <t>16:24:41</t>
        </is>
      </c>
      <c r="E42" s="2" t="inlineStr">
        <is>
          <t>mayo</t>
        </is>
      </c>
      <c r="F42" s="2" t="n">
        <v>2026</v>
      </c>
      <c r="G42" s="3" t="inlineStr">
        <is>
          <t>CHILLAN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CHILLAN</t>
        </is>
      </c>
      <c r="K42" s="2" t="n">
        <v>1720</v>
      </c>
    </row>
    <row r="43">
      <c r="A43" s="4">
        <f>"37223"</f>
        <v/>
      </c>
      <c r="B43" s="4" t="inlineStr">
        <is>
          <t>HKOOB36976894</t>
        </is>
      </c>
      <c r="C43" s="4" t="inlineStr">
        <is>
          <t>05/05/2026</t>
        </is>
      </c>
      <c r="D43" s="4" t="inlineStr">
        <is>
          <t>16:29:51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1582</v>
      </c>
    </row>
    <row r="44">
      <c r="A44" s="2">
        <f>"37228"</f>
        <v/>
      </c>
      <c r="B44" s="2" t="inlineStr">
        <is>
          <t>HKOOB36976886</t>
        </is>
      </c>
      <c r="C44" s="2" t="inlineStr">
        <is>
          <t>05/05/2026</t>
        </is>
      </c>
      <c r="D44" s="2" t="inlineStr">
        <is>
          <t>17:11:50</t>
        </is>
      </c>
      <c r="E44" s="2" t="inlineStr">
        <is>
          <t>mayo</t>
        </is>
      </c>
      <c r="F44" s="2" t="n">
        <v>2026</v>
      </c>
      <c r="G44" s="3" t="inlineStr">
        <is>
          <t>EL PINAR</t>
        </is>
      </c>
      <c r="H44" s="3" t="inlineStr">
        <is>
          <t>SIN PROVEEDOR</t>
        </is>
      </c>
      <c r="I44" s="2" t="n">
        <v>1</v>
      </c>
      <c r="J44" s="3" t="inlineStr">
        <is>
          <t>EL PINAR</t>
        </is>
      </c>
      <c r="K44" s="2" t="n">
        <v>983</v>
      </c>
    </row>
    <row r="45">
      <c r="A45" s="4">
        <f>"119075"</f>
        <v/>
      </c>
      <c r="B45" s="4" t="inlineStr">
        <is>
          <t>HKOOB36974918</t>
        </is>
      </c>
      <c r="C45" s="4" t="inlineStr">
        <is>
          <t>05/05/2026</t>
        </is>
      </c>
      <c r="D45" s="4" t="inlineStr">
        <is>
          <t>17:59:17</t>
        </is>
      </c>
      <c r="E45" s="4" t="inlineStr">
        <is>
          <t>mayo</t>
        </is>
      </c>
      <c r="F45" s="4" t="n">
        <v>2026</v>
      </c>
      <c r="G45" s="5" t="inlineStr">
        <is>
          <t>CONCEPCION</t>
        </is>
      </c>
      <c r="H45" s="5" t="inlineStr">
        <is>
          <t>76746317-0/TRAILER LOGISTICS SPA</t>
        </is>
      </c>
      <c r="I45" s="4" t="n">
        <v>1</v>
      </c>
      <c r="J45" s="5" t="inlineStr">
        <is>
          <t>CONCEPCION</t>
        </is>
      </c>
      <c r="K45" s="4" t="n">
        <v>1985</v>
      </c>
    </row>
    <row r="46">
      <c r="A46" s="2">
        <f>"37246"</f>
        <v/>
      </c>
      <c r="B46" s="2" t="inlineStr">
        <is>
          <t>HKOOB36976895</t>
        </is>
      </c>
      <c r="C46" s="2" t="inlineStr">
        <is>
          <t>05/05/2026</t>
        </is>
      </c>
      <c r="D46" s="2" t="inlineStr">
        <is>
          <t>17:59:41</t>
        </is>
      </c>
      <c r="E46" s="2" t="inlineStr">
        <is>
          <t>mayo</t>
        </is>
      </c>
      <c r="F46" s="2" t="n">
        <v>2026</v>
      </c>
      <c r="G46" s="3" t="inlineStr">
        <is>
          <t>LO ESPEJO</t>
        </is>
      </c>
      <c r="H46" s="3" t="inlineStr">
        <is>
          <t>SIN PROVEEDOR</t>
        </is>
      </c>
      <c r="I46" s="2" t="n">
        <v>1</v>
      </c>
      <c r="J46" s="3" t="inlineStr">
        <is>
          <t>LO ESPEJO</t>
        </is>
      </c>
      <c r="K46" s="2" t="n">
        <v>1303</v>
      </c>
    </row>
    <row r="47">
      <c r="A47" s="4">
        <f>"119073"</f>
        <v/>
      </c>
      <c r="B47" s="4" t="inlineStr">
        <is>
          <t>HKOOB36975770</t>
        </is>
      </c>
      <c r="C47" s="4" t="inlineStr">
        <is>
          <t>05/05/2026</t>
        </is>
      </c>
      <c r="D47" s="4" t="inlineStr">
        <is>
          <t>18:38:15</t>
        </is>
      </c>
      <c r="E47" s="4" t="inlineStr">
        <is>
          <t>mayo</t>
        </is>
      </c>
      <c r="F47" s="4" t="n">
        <v>2026</v>
      </c>
      <c r="G47" s="5" t="inlineStr">
        <is>
          <t>SAN FERNANDO</t>
        </is>
      </c>
      <c r="H47" s="5" t="inlineStr">
        <is>
          <t>76252773-1/GARATE Y GARATE LIMITADA</t>
        </is>
      </c>
      <c r="I47" s="4" t="n">
        <v>1</v>
      </c>
      <c r="J47" s="5" t="inlineStr">
        <is>
          <t>SAN FERNANDO</t>
        </is>
      </c>
      <c r="K47" s="4" t="n">
        <v>1713</v>
      </c>
    </row>
    <row r="48">
      <c r="A48" s="2">
        <f>"119076"</f>
        <v/>
      </c>
      <c r="B48" s="2" t="inlineStr">
        <is>
          <t>HKOOB36976882</t>
        </is>
      </c>
      <c r="C48" s="2" t="inlineStr">
        <is>
          <t>05/05/2026</t>
        </is>
      </c>
      <c r="D48" s="2" t="inlineStr">
        <is>
          <t>20:21:33</t>
        </is>
      </c>
      <c r="E48" s="2" t="inlineStr">
        <is>
          <t>mayo</t>
        </is>
      </c>
      <c r="F48" s="2" t="n">
        <v>2026</v>
      </c>
      <c r="G48" s="3" t="inlineStr">
        <is>
          <t>VINA DEL MAR</t>
        </is>
      </c>
      <c r="H48" s="3" t="inlineStr">
        <is>
          <t>SIN PROVEEDOR</t>
        </is>
      </c>
      <c r="I48" s="2" t="n">
        <v>1</v>
      </c>
      <c r="J48" s="3" t="inlineStr">
        <is>
          <t>VINA DEL MAR</t>
        </is>
      </c>
      <c r="K48" s="2" t="n">
        <v>1736</v>
      </c>
    </row>
    <row r="49">
      <c r="A49" s="4">
        <f>"119077"</f>
        <v/>
      </c>
      <c r="B49" s="4" t="inlineStr">
        <is>
          <t>HKOOB36982940</t>
        </is>
      </c>
      <c r="C49" s="4" t="inlineStr">
        <is>
          <t>05/05/2026</t>
        </is>
      </c>
      <c r="D49" s="4" t="inlineStr">
        <is>
          <t>21:23:38</t>
        </is>
      </c>
      <c r="E49" s="4" t="inlineStr">
        <is>
          <t>mayo</t>
        </is>
      </c>
      <c r="F49" s="4" t="n">
        <v>2026</v>
      </c>
      <c r="G49" s="5" t="inlineStr">
        <is>
          <t>CONCEPCION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CONCEPCION</t>
        </is>
      </c>
      <c r="K49" s="4" t="n">
        <v>1810</v>
      </c>
    </row>
    <row r="50">
      <c r="A50" s="2">
        <f>"119079"</f>
        <v/>
      </c>
      <c r="B50" s="2" t="inlineStr">
        <is>
          <t>HKOOB36982946</t>
        </is>
      </c>
      <c r="C50" s="2" t="inlineStr">
        <is>
          <t>06/05/2026</t>
        </is>
      </c>
      <c r="D50" s="2" t="inlineStr">
        <is>
          <t>01:00:17</t>
        </is>
      </c>
      <c r="E50" s="2" t="inlineStr">
        <is>
          <t>mayo</t>
        </is>
      </c>
      <c r="F50" s="2" t="n">
        <v>2026</v>
      </c>
      <c r="G50" s="3" t="inlineStr">
        <is>
          <t>TALCA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TALCA</t>
        </is>
      </c>
      <c r="K50" s="2" t="n">
        <v>1607</v>
      </c>
    </row>
    <row r="51">
      <c r="A51" s="4">
        <f>"119078"</f>
        <v/>
      </c>
      <c r="B51" s="4" t="inlineStr">
        <is>
          <t>HKOOB36982954</t>
        </is>
      </c>
      <c r="C51" s="4" t="inlineStr">
        <is>
          <t>06/05/2026</t>
        </is>
      </c>
      <c r="D51" s="4" t="inlineStr">
        <is>
          <t>01:20:48</t>
        </is>
      </c>
      <c r="E51" s="4" t="inlineStr">
        <is>
          <t>mayo</t>
        </is>
      </c>
      <c r="F51" s="4" t="n">
        <v>2026</v>
      </c>
      <c r="G51" s="5" t="inlineStr">
        <is>
          <t>OSORNO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OSORNO</t>
        </is>
      </c>
      <c r="K51" s="4" t="n">
        <v>1715</v>
      </c>
    </row>
    <row r="52">
      <c r="A52" s="2">
        <f>"119080"</f>
        <v/>
      </c>
      <c r="B52" s="2" t="inlineStr">
        <is>
          <t>HKOOB36982953</t>
        </is>
      </c>
      <c r="C52" s="2" t="inlineStr">
        <is>
          <t>06/05/2026</t>
        </is>
      </c>
      <c r="D52" s="2" t="inlineStr">
        <is>
          <t>02:30:53</t>
        </is>
      </c>
      <c r="E52" s="2" t="inlineStr">
        <is>
          <t>mayo</t>
        </is>
      </c>
      <c r="F52" s="2" t="n">
        <v>2026</v>
      </c>
      <c r="G52" s="3" t="inlineStr">
        <is>
          <t>TEMUCO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TEMUCO</t>
        </is>
      </c>
      <c r="K52" s="2" t="n">
        <v>1634</v>
      </c>
    </row>
    <row r="53">
      <c r="A53" s="4">
        <f>"119282"</f>
        <v/>
      </c>
      <c r="B53" s="4" t="inlineStr">
        <is>
          <t>HKOOB36982947</t>
        </is>
      </c>
      <c r="C53" s="4" t="inlineStr">
        <is>
          <t>06/05/2026</t>
        </is>
      </c>
      <c r="D53" s="4" t="inlineStr">
        <is>
          <t>02:45:06</t>
        </is>
      </c>
      <c r="E53" s="4" t="inlineStr">
        <is>
          <t>mayo</t>
        </is>
      </c>
      <c r="F53" s="4" t="n">
        <v>2026</v>
      </c>
      <c r="G53" s="5" t="inlineStr">
        <is>
          <t>VALDIVIA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VALDIVIA</t>
        </is>
      </c>
      <c r="K53" s="4" t="n">
        <v>1821</v>
      </c>
    </row>
    <row r="54">
      <c r="A54" s="2">
        <f>"119081"</f>
        <v/>
      </c>
      <c r="B54" s="2" t="inlineStr">
        <is>
          <t>HKOOB36985624</t>
        </is>
      </c>
      <c r="C54" s="2" t="inlineStr">
        <is>
          <t>06/05/2026</t>
        </is>
      </c>
      <c r="D54" s="2" t="inlineStr">
        <is>
          <t>02:52:43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1557</v>
      </c>
    </row>
    <row r="55">
      <c r="A55" s="4">
        <f>"119086"</f>
        <v/>
      </c>
      <c r="B55" s="4" t="inlineStr">
        <is>
          <t>HKOOB36982950</t>
        </is>
      </c>
      <c r="C55" s="4" t="inlineStr">
        <is>
          <t>06/05/2026</t>
        </is>
      </c>
      <c r="D55" s="4" t="inlineStr">
        <is>
          <t>03:29:24</t>
        </is>
      </c>
      <c r="E55" s="4" t="inlineStr">
        <is>
          <t>mayo</t>
        </is>
      </c>
      <c r="F55" s="4" t="n">
        <v>2026</v>
      </c>
      <c r="G55" s="5" t="inlineStr">
        <is>
          <t>LOS ANDES</t>
        </is>
      </c>
      <c r="H55" s="5" t="inlineStr">
        <is>
          <t>77970090-9/TRANSPORTES DONA ISIDORA (LABBE)</t>
        </is>
      </c>
      <c r="I55" s="4" t="n">
        <v>1</v>
      </c>
      <c r="J55" s="5" t="inlineStr">
        <is>
          <t>LOS ANDES</t>
        </is>
      </c>
      <c r="K55" s="4" t="n">
        <v>1668</v>
      </c>
    </row>
    <row r="56">
      <c r="A56" s="2">
        <f>"119083"</f>
        <v/>
      </c>
      <c r="B56" s="2" t="inlineStr">
        <is>
          <t>HKOOB36982957</t>
        </is>
      </c>
      <c r="C56" s="2" t="inlineStr">
        <is>
          <t>06/05/2026</t>
        </is>
      </c>
      <c r="D56" s="2" t="inlineStr">
        <is>
          <t>03:54:20</t>
        </is>
      </c>
      <c r="E56" s="2" t="inlineStr">
        <is>
          <t>mayo</t>
        </is>
      </c>
      <c r="F56" s="2" t="n">
        <v>2026</v>
      </c>
      <c r="G56" s="3" t="inlineStr">
        <is>
          <t>MELIPILLA</t>
        </is>
      </c>
      <c r="H56" s="3" t="inlineStr">
        <is>
          <t>77970090-9/TRANSPORTES DONA ISIDORA (LABBE)</t>
        </is>
      </c>
      <c r="I56" s="2" t="n">
        <v>1</v>
      </c>
      <c r="J56" s="3" t="inlineStr">
        <is>
          <t>MELIPILLA</t>
        </is>
      </c>
      <c r="K56" s="2" t="n">
        <v>1698</v>
      </c>
    </row>
    <row r="57">
      <c r="A57" s="4">
        <f>"119084"</f>
        <v/>
      </c>
      <c r="B57" s="4" t="inlineStr">
        <is>
          <t>HKOOB36982963</t>
        </is>
      </c>
      <c r="C57" s="4" t="inlineStr">
        <is>
          <t>06/05/2026</t>
        </is>
      </c>
      <c r="D57" s="4" t="inlineStr">
        <is>
          <t>04:37:31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1624</v>
      </c>
    </row>
    <row r="58">
      <c r="A58" s="2">
        <f>"37291"</f>
        <v/>
      </c>
      <c r="B58" s="2" t="inlineStr">
        <is>
          <t>HKOOB36985168</t>
        </is>
      </c>
      <c r="C58" s="2" t="inlineStr">
        <is>
          <t>06/05/2026</t>
        </is>
      </c>
      <c r="D58" s="2" t="inlineStr">
        <is>
          <t>04:52:15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1143</v>
      </c>
    </row>
    <row r="59">
      <c r="A59" s="4">
        <f>"119085"</f>
        <v/>
      </c>
      <c r="B59" s="4" t="inlineStr">
        <is>
          <t>HKOOB36982962</t>
        </is>
      </c>
      <c r="C59" s="4" t="inlineStr">
        <is>
          <t>06/05/2026</t>
        </is>
      </c>
      <c r="D59" s="4" t="inlineStr">
        <is>
          <t>05:02:14</t>
        </is>
      </c>
      <c r="E59" s="4" t="inlineStr">
        <is>
          <t>mayo</t>
        </is>
      </c>
      <c r="F59" s="4" t="n">
        <v>2026</v>
      </c>
      <c r="G59" s="5" t="inlineStr">
        <is>
          <t>LOS ANGELES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LOS ANGELES</t>
        </is>
      </c>
      <c r="K59" s="4" t="n">
        <v>1685</v>
      </c>
    </row>
    <row r="60">
      <c r="A60" s="2">
        <f>"119088"</f>
        <v/>
      </c>
      <c r="B60" s="2" t="inlineStr">
        <is>
          <t>HKOOB36982956</t>
        </is>
      </c>
      <c r="C60" s="2" t="inlineStr">
        <is>
          <t>06/05/2026</t>
        </is>
      </c>
      <c r="D60" s="2" t="inlineStr">
        <is>
          <t>07:46:03</t>
        </is>
      </c>
      <c r="E60" s="2" t="inlineStr">
        <is>
          <t>mayo</t>
        </is>
      </c>
      <c r="F60" s="2" t="n">
        <v>2026</v>
      </c>
      <c r="G60" s="3" t="inlineStr">
        <is>
          <t>COPIAPO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COPIAPO</t>
        </is>
      </c>
      <c r="K60" s="2" t="n">
        <v>1756</v>
      </c>
    </row>
    <row r="61">
      <c r="A61" s="4">
        <f>"119089"</f>
        <v/>
      </c>
      <c r="B61" s="4" t="inlineStr">
        <is>
          <t>HKOOB36982948</t>
        </is>
      </c>
      <c r="C61" s="4" t="inlineStr">
        <is>
          <t>06/05/2026</t>
        </is>
      </c>
      <c r="D61" s="4" t="inlineStr">
        <is>
          <t>09:32:17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1731</v>
      </c>
    </row>
    <row r="62">
      <c r="A62" s="2">
        <f>"119090"</f>
        <v/>
      </c>
      <c r="B62" s="2" t="inlineStr">
        <is>
          <t>HKOOB36982944</t>
        </is>
      </c>
      <c r="C62" s="2" t="inlineStr">
        <is>
          <t>06/05/2026</t>
        </is>
      </c>
      <c r="D62" s="2" t="inlineStr">
        <is>
          <t>10:14:32</t>
        </is>
      </c>
      <c r="E62" s="2" t="inlineStr">
        <is>
          <t>mayo</t>
        </is>
      </c>
      <c r="F62" s="2" t="n">
        <v>2026</v>
      </c>
      <c r="G62" s="3" t="inlineStr">
        <is>
          <t>TALCA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TALCA</t>
        </is>
      </c>
      <c r="K62" s="2" t="n">
        <v>1324</v>
      </c>
    </row>
    <row r="63">
      <c r="A63" s="4">
        <f>"119092"</f>
        <v/>
      </c>
      <c r="B63" s="4" t="inlineStr">
        <is>
          <t>HKOOB36985625</t>
        </is>
      </c>
      <c r="C63" s="4" t="inlineStr">
        <is>
          <t>06/05/2026</t>
        </is>
      </c>
      <c r="D63" s="4" t="inlineStr">
        <is>
          <t>12:18:26</t>
        </is>
      </c>
      <c r="E63" s="4" t="inlineStr">
        <is>
          <t>mayo</t>
        </is>
      </c>
      <c r="F63" s="4" t="n">
        <v>2026</v>
      </c>
      <c r="G63" s="5" t="inlineStr">
        <is>
          <t>VINA DEL MAR</t>
        </is>
      </c>
      <c r="H63" s="5" t="inlineStr">
        <is>
          <t>16575553-7/GABRIEL ALEJANDRO ESTAY CARRAZANA</t>
        </is>
      </c>
      <c r="I63" s="4" t="n">
        <v>1</v>
      </c>
      <c r="J63" s="5" t="inlineStr">
        <is>
          <t>VINA DEL MAR</t>
        </is>
      </c>
      <c r="K63" s="4" t="n">
        <v>1572</v>
      </c>
    </row>
    <row r="64">
      <c r="A64" s="2">
        <f>"119091"</f>
        <v/>
      </c>
      <c r="B64" s="2" t="inlineStr">
        <is>
          <t>HKOOB36985271</t>
        </is>
      </c>
      <c r="C64" s="2" t="inlineStr">
        <is>
          <t>06/05/2026</t>
        </is>
      </c>
      <c r="D64" s="2" t="inlineStr">
        <is>
          <t>13:10:21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76746317-0/TRAILER LOGISTICS SPA</t>
        </is>
      </c>
      <c r="I64" s="2" t="n">
        <v>1</v>
      </c>
      <c r="J64" s="3" t="inlineStr">
        <is>
          <t>ANTOFAGASTA</t>
        </is>
      </c>
      <c r="K64" s="2" t="n">
        <v>2311</v>
      </c>
    </row>
    <row r="65">
      <c r="A65" s="4">
        <f>"119093"</f>
        <v/>
      </c>
      <c r="B65" s="4" t="inlineStr">
        <is>
          <t>HKOOB36982955</t>
        </is>
      </c>
      <c r="C65" s="4" t="inlineStr">
        <is>
          <t>06/05/2026</t>
        </is>
      </c>
      <c r="D65" s="4" t="inlineStr">
        <is>
          <t>13:22:10</t>
        </is>
      </c>
      <c r="E65" s="4" t="inlineStr">
        <is>
          <t>mayo</t>
        </is>
      </c>
      <c r="F65" s="4" t="n">
        <v>2026</v>
      </c>
      <c r="G65" s="5" t="inlineStr">
        <is>
          <t>COPIAPO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COPIAPO</t>
        </is>
      </c>
      <c r="K65" s="4" t="n">
        <v>1725</v>
      </c>
    </row>
    <row r="66">
      <c r="A66" s="2">
        <f>"119094"</f>
        <v/>
      </c>
      <c r="B66" s="2" t="inlineStr">
        <is>
          <t>HKOOB36982964</t>
        </is>
      </c>
      <c r="C66" s="2" t="inlineStr">
        <is>
          <t>06/05/2026</t>
        </is>
      </c>
      <c r="D66" s="2" t="inlineStr">
        <is>
          <t>14:41:19</t>
        </is>
      </c>
      <c r="E66" s="2" t="inlineStr">
        <is>
          <t>mayo</t>
        </is>
      </c>
      <c r="F66" s="2" t="n">
        <v>2026</v>
      </c>
      <c r="G66" s="3" t="inlineStr">
        <is>
          <t>CHILLAN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CHILLAN</t>
        </is>
      </c>
      <c r="K66" s="2" t="n">
        <v>1543</v>
      </c>
    </row>
    <row r="67">
      <c r="A67" s="4">
        <f>"37358"</f>
        <v/>
      </c>
      <c r="B67" s="4" t="inlineStr">
        <is>
          <t>HKOOB36985604</t>
        </is>
      </c>
      <c r="C67" s="4" t="inlineStr">
        <is>
          <t>06/05/2026</t>
        </is>
      </c>
      <c r="D67" s="4" t="inlineStr">
        <is>
          <t>15:01:57</t>
        </is>
      </c>
      <c r="E67" s="4" t="inlineStr">
        <is>
          <t>mayo</t>
        </is>
      </c>
      <c r="F67" s="4" t="n">
        <v>2026</v>
      </c>
      <c r="G67" s="5" t="inlineStr">
        <is>
          <t>LO ESPEJO</t>
        </is>
      </c>
      <c r="H67" s="5" t="inlineStr">
        <is>
          <t>SIN PROVEEDOR</t>
        </is>
      </c>
      <c r="I67" s="4" t="n">
        <v>1</v>
      </c>
      <c r="J67" s="5" t="inlineStr">
        <is>
          <t>LO ESPEJO</t>
        </is>
      </c>
      <c r="K67" s="4" t="n">
        <v>1509</v>
      </c>
    </row>
    <row r="68">
      <c r="A68" s="2">
        <f>"37360"</f>
        <v/>
      </c>
      <c r="B68" s="2" t="inlineStr">
        <is>
          <t>HKOOB36985605</t>
        </is>
      </c>
      <c r="C68" s="2" t="inlineStr">
        <is>
          <t>06/05/2026</t>
        </is>
      </c>
      <c r="D68" s="2" t="inlineStr">
        <is>
          <t>15:28:35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1421</v>
      </c>
    </row>
    <row r="69">
      <c r="A69" s="4">
        <f>"37369"</f>
        <v/>
      </c>
      <c r="B69" s="4" t="inlineStr">
        <is>
          <t>HKOOB36985607</t>
        </is>
      </c>
      <c r="C69" s="4" t="inlineStr">
        <is>
          <t>06/05/2026</t>
        </is>
      </c>
      <c r="D69" s="4" t="inlineStr">
        <is>
          <t>16:30:03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1560</v>
      </c>
    </row>
    <row r="70">
      <c r="A70" s="2">
        <f>"119095"</f>
        <v/>
      </c>
      <c r="B70" s="2" t="inlineStr">
        <is>
          <t>HKOOB36982960</t>
        </is>
      </c>
      <c r="C70" s="2" t="inlineStr">
        <is>
          <t>06/05/2026</t>
        </is>
      </c>
      <c r="D70" s="2" t="inlineStr">
        <is>
          <t>17:23:25</t>
        </is>
      </c>
      <c r="E70" s="2" t="inlineStr">
        <is>
          <t>mayo</t>
        </is>
      </c>
      <c r="F70" s="2" t="n">
        <v>2026</v>
      </c>
      <c r="G70" s="3" t="inlineStr">
        <is>
          <t>SAN FERNANDO</t>
        </is>
      </c>
      <c r="H70" s="3" t="inlineStr">
        <is>
          <t>76252773-1/GARATE Y GARATE LIMITADA</t>
        </is>
      </c>
      <c r="I70" s="2" t="n">
        <v>1</v>
      </c>
      <c r="J70" s="3" t="inlineStr">
        <is>
          <t>SAN FERNANDO</t>
        </is>
      </c>
      <c r="K70" s="2" t="n">
        <v>680</v>
      </c>
    </row>
    <row r="71">
      <c r="A71" s="4">
        <f>"37371"</f>
        <v/>
      </c>
      <c r="B71" s="4" t="inlineStr">
        <is>
          <t>HKOOB36985169</t>
        </is>
      </c>
      <c r="C71" s="4" t="inlineStr">
        <is>
          <t>06/05/2026</t>
        </is>
      </c>
      <c r="D71" s="4" t="inlineStr">
        <is>
          <t>17:25:07</t>
        </is>
      </c>
      <c r="E71" s="4" t="inlineStr">
        <is>
          <t>mayo</t>
        </is>
      </c>
      <c r="F71" s="4" t="n">
        <v>2026</v>
      </c>
      <c r="G71" s="5" t="inlineStr">
        <is>
          <t>EL PINAR</t>
        </is>
      </c>
      <c r="H71" s="5" t="inlineStr">
        <is>
          <t>SIN PROVEEDOR</t>
        </is>
      </c>
      <c r="I71" s="4" t="n">
        <v>1</v>
      </c>
      <c r="J71" s="5" t="inlineStr">
        <is>
          <t>EL PINAR</t>
        </is>
      </c>
      <c r="K71" s="4" t="n">
        <v>1069</v>
      </c>
    </row>
    <row r="72">
      <c r="A72" s="2">
        <f>"119098"</f>
        <v/>
      </c>
      <c r="B72" s="2" t="inlineStr">
        <is>
          <t>HKOOB36982943</t>
        </is>
      </c>
      <c r="C72" s="2" t="inlineStr">
        <is>
          <t>06/05/2026</t>
        </is>
      </c>
      <c r="D72" s="2" t="inlineStr">
        <is>
          <t>18:25:00</t>
        </is>
      </c>
      <c r="E72" s="2" t="inlineStr">
        <is>
          <t>mayo</t>
        </is>
      </c>
      <c r="F72" s="2" t="n">
        <v>2026</v>
      </c>
      <c r="G72" s="3" t="inlineStr">
        <is>
          <t>LA SERENA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LA SERENA</t>
        </is>
      </c>
      <c r="K72" s="2" t="n">
        <v>1002</v>
      </c>
    </row>
    <row r="73">
      <c r="A73" s="4">
        <f>"37373"</f>
        <v/>
      </c>
      <c r="B73" s="4" t="inlineStr">
        <is>
          <t>HKOOB36985606</t>
        </is>
      </c>
      <c r="C73" s="4" t="inlineStr">
        <is>
          <t>06/05/2026</t>
        </is>
      </c>
      <c r="D73" s="4" t="inlineStr">
        <is>
          <t>18:54:56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16575553-7/GABRIEL ALEJANDRO ESTAY CARRAZANA</t>
        </is>
      </c>
      <c r="I73" s="4" t="n">
        <v>1</v>
      </c>
      <c r="J73" s="5" t="inlineStr">
        <is>
          <t>LO ESPEJO</t>
        </is>
      </c>
      <c r="K73" s="4" t="n">
        <v>1002</v>
      </c>
    </row>
    <row r="74">
      <c r="A74" s="2">
        <f>"37383"</f>
        <v/>
      </c>
      <c r="B74" s="2" t="inlineStr">
        <is>
          <t>HKOOB36985608</t>
        </is>
      </c>
      <c r="C74" s="2" t="inlineStr">
        <is>
          <t>06/05/2026</t>
        </is>
      </c>
      <c r="D74" s="2" t="inlineStr">
        <is>
          <t>19:36:20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1540</v>
      </c>
    </row>
    <row r="75">
      <c r="A75" s="4">
        <f>"37382"</f>
        <v/>
      </c>
      <c r="B75" s="4" t="inlineStr">
        <is>
          <t>HKOOB36985609</t>
        </is>
      </c>
      <c r="C75" s="4" t="inlineStr">
        <is>
          <t>06/05/2026</t>
        </is>
      </c>
      <c r="D75" s="4" t="inlineStr">
        <is>
          <t>19:47:11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1197</v>
      </c>
    </row>
    <row r="76">
      <c r="A76" s="2">
        <f>"119097"</f>
        <v/>
      </c>
      <c r="B76" s="2" t="inlineStr">
        <is>
          <t>HKOOB36982939</t>
        </is>
      </c>
      <c r="C76" s="2" t="inlineStr">
        <is>
          <t>06/05/2026</t>
        </is>
      </c>
      <c r="D76" s="2" t="inlineStr">
        <is>
          <t>20:54:21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2165</v>
      </c>
    </row>
    <row r="77">
      <c r="A77" s="4">
        <f>"119099"</f>
        <v/>
      </c>
      <c r="B77" s="4" t="inlineStr">
        <is>
          <t>HKOOB36985626</t>
        </is>
      </c>
      <c r="C77" s="4" t="inlineStr">
        <is>
          <t>06/05/2026</t>
        </is>
      </c>
      <c r="D77" s="4" t="inlineStr">
        <is>
          <t>23:36:37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77970090-9/TRANSPORTES DONA ISIDORA (LABBE)</t>
        </is>
      </c>
      <c r="I77" s="4" t="n">
        <v>1</v>
      </c>
      <c r="J77" s="5" t="inlineStr">
        <is>
          <t>VINA DEL MAR</t>
        </is>
      </c>
      <c r="K77" s="4" t="n">
        <v>1860</v>
      </c>
    </row>
    <row r="78">
      <c r="A78" s="2">
        <f>"37417"</f>
        <v/>
      </c>
      <c r="B78" s="2" t="inlineStr">
        <is>
          <t>HKOOB36985170</t>
        </is>
      </c>
      <c r="C78" s="2" t="inlineStr">
        <is>
          <t>07/05/2026</t>
        </is>
      </c>
      <c r="D78" s="2" t="inlineStr">
        <is>
          <t>00:30:15</t>
        </is>
      </c>
      <c r="E78" s="2" t="inlineStr">
        <is>
          <t>mayo</t>
        </is>
      </c>
      <c r="F78" s="2" t="n">
        <v>2026</v>
      </c>
      <c r="G78" s="3" t="inlineStr">
        <is>
          <t>EL PINAR</t>
        </is>
      </c>
      <c r="H78" s="3" t="inlineStr">
        <is>
          <t>SIN PROVEEDOR</t>
        </is>
      </c>
      <c r="I78" s="2" t="n">
        <v>1</v>
      </c>
      <c r="J78" s="3" t="inlineStr">
        <is>
          <t>EL PINAR</t>
        </is>
      </c>
      <c r="K78" s="2" t="n">
        <v>1176</v>
      </c>
    </row>
    <row r="79">
      <c r="A79" s="4">
        <f>"37415"</f>
        <v/>
      </c>
      <c r="B79" s="4" t="inlineStr">
        <is>
          <t>HKOOB36985611</t>
        </is>
      </c>
      <c r="C79" s="4" t="inlineStr">
        <is>
          <t>07/05/2026</t>
        </is>
      </c>
      <c r="D79" s="4" t="inlineStr">
        <is>
          <t>00:51:53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16575553-7/GABRIEL ALEJANDRO ESTAY CARRAZANA</t>
        </is>
      </c>
      <c r="I79" s="4" t="n">
        <v>1</v>
      </c>
      <c r="J79" s="5" t="inlineStr">
        <is>
          <t>LO ESPEJO</t>
        </is>
      </c>
      <c r="K79" s="4" t="n">
        <v>1515</v>
      </c>
    </row>
    <row r="80">
      <c r="A80" s="2">
        <f>"119102"</f>
        <v/>
      </c>
      <c r="B80" s="2" t="inlineStr">
        <is>
          <t>HKOOB36991742</t>
        </is>
      </c>
      <c r="C80" s="2" t="inlineStr">
        <is>
          <t>07/05/2026</t>
        </is>
      </c>
      <c r="D80" s="2" t="inlineStr">
        <is>
          <t>01:37:02</t>
        </is>
      </c>
      <c r="E80" s="2" t="inlineStr">
        <is>
          <t>mayo</t>
        </is>
      </c>
      <c r="F80" s="2" t="n">
        <v>2026</v>
      </c>
      <c r="G80" s="3" t="inlineStr">
        <is>
          <t>PTO MONTT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PTO MONTT</t>
        </is>
      </c>
      <c r="K80" s="2" t="n">
        <v>1826</v>
      </c>
    </row>
    <row r="81">
      <c r="A81" s="4">
        <f>"119101"</f>
        <v/>
      </c>
      <c r="B81" s="4" t="inlineStr">
        <is>
          <t>HKOOB36985627</t>
        </is>
      </c>
      <c r="C81" s="4" t="inlineStr">
        <is>
          <t>07/05/2026</t>
        </is>
      </c>
      <c r="D81" s="4" t="inlineStr">
        <is>
          <t>01:44:49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16575553-7/GABRIEL ALEJANDRO ESTAY CARRAZANA</t>
        </is>
      </c>
      <c r="I81" s="4" t="n">
        <v>1</v>
      </c>
      <c r="J81" s="5" t="inlineStr">
        <is>
          <t>VINA DEL MAR</t>
        </is>
      </c>
      <c r="K81" s="4" t="n">
        <v>1589</v>
      </c>
    </row>
    <row r="82">
      <c r="A82" s="2">
        <f>"37434"</f>
        <v/>
      </c>
      <c r="B82" s="2" t="inlineStr">
        <is>
          <t>HKOOB36991768</t>
        </is>
      </c>
      <c r="C82" s="2" t="inlineStr">
        <is>
          <t>07/05/2026</t>
        </is>
      </c>
      <c r="D82" s="2" t="inlineStr">
        <is>
          <t>03:32:16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1338</v>
      </c>
    </row>
    <row r="83">
      <c r="A83" s="4">
        <f>"119104"</f>
        <v/>
      </c>
      <c r="B83" s="4" t="inlineStr">
        <is>
          <t>HKOOB36991732</t>
        </is>
      </c>
      <c r="C83" s="4" t="inlineStr">
        <is>
          <t>07/05/2026</t>
        </is>
      </c>
      <c r="D83" s="4" t="inlineStr">
        <is>
          <t>03:47:06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1733</v>
      </c>
    </row>
    <row r="84">
      <c r="A84" s="2">
        <f>"119103"</f>
        <v/>
      </c>
      <c r="B84" s="2" t="inlineStr">
        <is>
          <t>HKOOB36991773</t>
        </is>
      </c>
      <c r="C84" s="2" t="inlineStr">
        <is>
          <t>07/05/2026</t>
        </is>
      </c>
      <c r="D84" s="2" t="inlineStr">
        <is>
          <t>03:53:04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VINA DEL MAR</t>
        </is>
      </c>
      <c r="K84" s="2" t="n">
        <v>1421</v>
      </c>
    </row>
    <row r="85">
      <c r="A85" s="4">
        <f>"119106"</f>
        <v/>
      </c>
      <c r="B85" s="4" t="inlineStr">
        <is>
          <t>HKOOB36991728</t>
        </is>
      </c>
      <c r="C85" s="4" t="inlineStr">
        <is>
          <t>07/05/2026</t>
        </is>
      </c>
      <c r="D85" s="4" t="inlineStr">
        <is>
          <t>04:49:45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1788</v>
      </c>
    </row>
    <row r="86">
      <c r="A86" s="2">
        <f>"37444"</f>
        <v/>
      </c>
      <c r="B86" s="2" t="inlineStr">
        <is>
          <t>HKOOB36991765</t>
        </is>
      </c>
      <c r="C86" s="2" t="inlineStr">
        <is>
          <t>07/05/2026</t>
        </is>
      </c>
      <c r="D86" s="2" t="inlineStr">
        <is>
          <t>04:51:50</t>
        </is>
      </c>
      <c r="E86" s="2" t="inlineStr">
        <is>
          <t>mayo</t>
        </is>
      </c>
      <c r="F86" s="2" t="n">
        <v>2026</v>
      </c>
      <c r="G86" s="3" t="inlineStr">
        <is>
          <t>EL PINAR</t>
        </is>
      </c>
      <c r="H86" s="3" t="inlineStr">
        <is>
          <t>SIN PROVEEDOR</t>
        </is>
      </c>
      <c r="I86" s="2" t="n">
        <v>1</v>
      </c>
      <c r="J86" s="3" t="inlineStr">
        <is>
          <t>EL PINAR</t>
        </is>
      </c>
      <c r="K86" s="2" t="n">
        <v>1039</v>
      </c>
    </row>
    <row r="87">
      <c r="A87" s="4">
        <f>"119105"</f>
        <v/>
      </c>
      <c r="B87" s="4" t="inlineStr">
        <is>
          <t>HKOOB36991736</t>
        </is>
      </c>
      <c r="C87" s="4" t="inlineStr">
        <is>
          <t>07/05/2026</t>
        </is>
      </c>
      <c r="D87" s="4" t="inlineStr">
        <is>
          <t>05:20:36</t>
        </is>
      </c>
      <c r="E87" s="4" t="inlineStr">
        <is>
          <t>mayo</t>
        </is>
      </c>
      <c r="F87" s="4" t="n">
        <v>2026</v>
      </c>
      <c r="G87" s="5" t="inlineStr">
        <is>
          <t>LOS ANDES</t>
        </is>
      </c>
      <c r="H87" s="5" t="inlineStr">
        <is>
          <t>77970090-9/TRANSPORTES DONA ISIDORA (LABBE)</t>
        </is>
      </c>
      <c r="I87" s="4" t="n">
        <v>1</v>
      </c>
      <c r="J87" s="5" t="inlineStr">
        <is>
          <t>LOS ANDES</t>
        </is>
      </c>
      <c r="K87" s="4" t="n">
        <v>1586</v>
      </c>
    </row>
    <row r="88">
      <c r="A88" s="2">
        <f>"119107"</f>
        <v/>
      </c>
      <c r="B88" s="2" t="inlineStr">
        <is>
          <t>HKOOB36991729</t>
        </is>
      </c>
      <c r="C88" s="2" t="inlineStr">
        <is>
          <t>07/05/2026</t>
        </is>
      </c>
      <c r="D88" s="2" t="inlineStr">
        <is>
          <t>05:35:09</t>
        </is>
      </c>
      <c r="E88" s="2" t="inlineStr">
        <is>
          <t>mayo</t>
        </is>
      </c>
      <c r="F88" s="2" t="n">
        <v>2026</v>
      </c>
      <c r="G88" s="3" t="inlineStr">
        <is>
          <t>RANCAGUA</t>
        </is>
      </c>
      <c r="H88" s="3" t="inlineStr">
        <is>
          <t>76252773-1/GARATE Y GARATE LIMITADA</t>
        </is>
      </c>
      <c r="I88" s="2" t="n">
        <v>1</v>
      </c>
      <c r="J88" s="3" t="inlineStr">
        <is>
          <t>RANCAGUA</t>
        </is>
      </c>
      <c r="K88" s="2" t="n">
        <v>1638</v>
      </c>
    </row>
    <row r="89">
      <c r="A89" s="4">
        <f>"119108"</f>
        <v/>
      </c>
      <c r="B89" s="4" t="inlineStr">
        <is>
          <t>HKOOB36991779</t>
        </is>
      </c>
      <c r="C89" s="4" t="inlineStr">
        <is>
          <t>07/05/2026</t>
        </is>
      </c>
      <c r="D89" s="4" t="inlineStr">
        <is>
          <t>09:20:11</t>
        </is>
      </c>
      <c r="E89" s="4" t="inlineStr">
        <is>
          <t>mayo</t>
        </is>
      </c>
      <c r="F89" s="4" t="n">
        <v>2026</v>
      </c>
      <c r="G89" s="5" t="inlineStr">
        <is>
          <t>IQUIQUE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IQUIQUE</t>
        </is>
      </c>
      <c r="K89" s="4" t="n">
        <v>1698</v>
      </c>
    </row>
    <row r="90">
      <c r="A90" s="2">
        <f>"119109"</f>
        <v/>
      </c>
      <c r="B90" s="2" t="inlineStr">
        <is>
          <t>HKOOB36991720</t>
        </is>
      </c>
      <c r="C90" s="2" t="inlineStr">
        <is>
          <t>07/05/2026</t>
        </is>
      </c>
      <c r="D90" s="2" t="inlineStr">
        <is>
          <t>09:51:27</t>
        </is>
      </c>
      <c r="E90" s="2" t="inlineStr">
        <is>
          <t>mayo</t>
        </is>
      </c>
      <c r="F90" s="2" t="n">
        <v>2026</v>
      </c>
      <c r="G90" s="3" t="inlineStr">
        <is>
          <t>LOS ANGELES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LOS ANGELES</t>
        </is>
      </c>
      <c r="K90" s="2" t="n">
        <v>1704</v>
      </c>
    </row>
    <row r="91">
      <c r="A91" s="4">
        <f>"119110"</f>
        <v/>
      </c>
      <c r="B91" s="4" t="inlineStr">
        <is>
          <t>HKOOB36991874</t>
        </is>
      </c>
      <c r="C91" s="4" t="inlineStr">
        <is>
          <t>07/05/2026</t>
        </is>
      </c>
      <c r="D91" s="4" t="inlineStr">
        <is>
          <t>10:39:56</t>
        </is>
      </c>
      <c r="E91" s="4" t="inlineStr">
        <is>
          <t>mayo</t>
        </is>
      </c>
      <c r="F91" s="4" t="n">
        <v>2026</v>
      </c>
      <c r="G91" s="5" t="inlineStr">
        <is>
          <t>VALDIVIA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VALDIVIA</t>
        </is>
      </c>
      <c r="K91" s="4" t="n">
        <v>1709</v>
      </c>
    </row>
    <row r="92">
      <c r="A92" s="2">
        <f>"119111"</f>
        <v/>
      </c>
      <c r="B92" s="2" t="inlineStr">
        <is>
          <t>HKOOB36991735</t>
        </is>
      </c>
      <c r="C92" s="2" t="inlineStr">
        <is>
          <t>07/05/2026</t>
        </is>
      </c>
      <c r="D92" s="2" t="inlineStr">
        <is>
          <t>10:44:35</t>
        </is>
      </c>
      <c r="E92" s="2" t="inlineStr">
        <is>
          <t>mayo</t>
        </is>
      </c>
      <c r="F92" s="2" t="n">
        <v>2026</v>
      </c>
      <c r="G92" s="3" t="inlineStr">
        <is>
          <t>TEMUCO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TEMUCO</t>
        </is>
      </c>
      <c r="K92" s="2" t="n">
        <v>1821</v>
      </c>
    </row>
    <row r="93">
      <c r="A93" s="4">
        <f>"119114"</f>
        <v/>
      </c>
      <c r="B93" s="4" t="inlineStr">
        <is>
          <t>HKOOB36991738</t>
        </is>
      </c>
      <c r="C93" s="4" t="inlineStr">
        <is>
          <t>07/05/2026</t>
        </is>
      </c>
      <c r="D93" s="4" t="inlineStr">
        <is>
          <t>13:02:53</t>
        </is>
      </c>
      <c r="E93" s="4" t="inlineStr">
        <is>
          <t>mayo</t>
        </is>
      </c>
      <c r="F93" s="4" t="n">
        <v>2026</v>
      </c>
      <c r="G93" s="5" t="inlineStr">
        <is>
          <t>TALCA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TALCA</t>
        </is>
      </c>
      <c r="K93" s="4" t="n">
        <v>1746</v>
      </c>
    </row>
    <row r="94">
      <c r="A94" s="2">
        <f>"119116"</f>
        <v/>
      </c>
      <c r="B94" s="2" t="inlineStr">
        <is>
          <t>HKOOB36991780</t>
        </is>
      </c>
      <c r="C94" s="2" t="inlineStr">
        <is>
          <t>07/05/2026</t>
        </is>
      </c>
      <c r="D94" s="2" t="inlineStr">
        <is>
          <t>16:13:20</t>
        </is>
      </c>
      <c r="E94" s="2" t="inlineStr">
        <is>
          <t>mayo</t>
        </is>
      </c>
      <c r="F94" s="2" t="n">
        <v>2026</v>
      </c>
      <c r="G94" s="3" t="inlineStr">
        <is>
          <t>IQUIQUE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IQUIQUE</t>
        </is>
      </c>
      <c r="K94" s="2" t="n">
        <v>1465</v>
      </c>
    </row>
    <row r="95">
      <c r="A95" s="4">
        <f>"37517"</f>
        <v/>
      </c>
      <c r="B95" s="4" t="inlineStr">
        <is>
          <t>HKOOB36991770</t>
        </is>
      </c>
      <c r="C95" s="4" t="inlineStr">
        <is>
          <t>07/05/2026</t>
        </is>
      </c>
      <c r="D95" s="4" t="inlineStr">
        <is>
          <t>17:06:01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1581</v>
      </c>
    </row>
    <row r="96">
      <c r="A96" s="2">
        <f>"119119"</f>
        <v/>
      </c>
      <c r="B96" s="2" t="inlineStr">
        <is>
          <t>HKOOB36991725</t>
        </is>
      </c>
      <c r="C96" s="2" t="inlineStr">
        <is>
          <t>07/05/2026</t>
        </is>
      </c>
      <c r="D96" s="2" t="inlineStr">
        <is>
          <t>18:02:48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76746317-0/TRAILER LOGISTICS SPA</t>
        </is>
      </c>
      <c r="I96" s="2" t="n">
        <v>1</v>
      </c>
      <c r="J96" s="3" t="inlineStr">
        <is>
          <t>CONCEPCION</t>
        </is>
      </c>
      <c r="K96" s="2" t="n">
        <v>1975</v>
      </c>
    </row>
    <row r="97">
      <c r="A97" s="4">
        <f>"119115"</f>
        <v/>
      </c>
      <c r="B97" s="4" t="inlineStr">
        <is>
          <t>HKOOB36991778</t>
        </is>
      </c>
      <c r="C97" s="4" t="inlineStr">
        <is>
          <t>07/05/2026</t>
        </is>
      </c>
      <c r="D97" s="4" t="inlineStr">
        <is>
          <t>18:09:01</t>
        </is>
      </c>
      <c r="E97" s="4" t="inlineStr">
        <is>
          <t>mayo</t>
        </is>
      </c>
      <c r="F97" s="4" t="n">
        <v>2026</v>
      </c>
      <c r="G97" s="5" t="inlineStr">
        <is>
          <t>LA SERENA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LA SERENA</t>
        </is>
      </c>
      <c r="K97" s="4" t="n">
        <v>1590</v>
      </c>
    </row>
    <row r="98">
      <c r="A98" s="2">
        <f>"119117"</f>
        <v/>
      </c>
      <c r="B98" s="2" t="inlineStr">
        <is>
          <t>HKOOB36994674</t>
        </is>
      </c>
      <c r="C98" s="2" t="inlineStr">
        <is>
          <t>07/05/2026</t>
        </is>
      </c>
      <c r="D98" s="2" t="inlineStr">
        <is>
          <t>18:55:10</t>
        </is>
      </c>
      <c r="E98" s="2" t="inlineStr">
        <is>
          <t>mayo</t>
        </is>
      </c>
      <c r="F98" s="2" t="n">
        <v>2026</v>
      </c>
      <c r="G98" s="3" t="inlineStr">
        <is>
          <t>LA SERENA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LA SERENA</t>
        </is>
      </c>
      <c r="K98" s="2" t="n">
        <v>1534</v>
      </c>
    </row>
    <row r="99">
      <c r="A99" s="4">
        <f>"119120"</f>
        <v/>
      </c>
      <c r="B99" s="4" t="inlineStr">
        <is>
          <t>HKOOB36991774</t>
        </is>
      </c>
      <c r="C99" s="4" t="inlineStr">
        <is>
          <t>07/05/2026</t>
        </is>
      </c>
      <c r="D99" s="4" t="inlineStr">
        <is>
          <t>20:39:10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SIN PROVEEDOR</t>
        </is>
      </c>
      <c r="I99" s="4" t="n">
        <v>1</v>
      </c>
      <c r="J99" s="5" t="inlineStr">
        <is>
          <t>VINA DEL MAR</t>
        </is>
      </c>
      <c r="K99" s="4" t="n">
        <v>1902</v>
      </c>
    </row>
    <row r="100">
      <c r="A100" s="2">
        <f>"119121"</f>
        <v/>
      </c>
      <c r="B100" s="2" t="inlineStr">
        <is>
          <t>HKOOB36991741</t>
        </is>
      </c>
      <c r="C100" s="2" t="inlineStr">
        <is>
          <t>07/05/2026</t>
        </is>
      </c>
      <c r="D100" s="2" t="inlineStr">
        <is>
          <t>23:03:35</t>
        </is>
      </c>
      <c r="E100" s="2" t="inlineStr">
        <is>
          <t>mayo</t>
        </is>
      </c>
      <c r="F100" s="2" t="n">
        <v>2026</v>
      </c>
      <c r="G100" s="3" t="inlineStr">
        <is>
          <t>SAN FERNANDO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SAN FERNANDO</t>
        </is>
      </c>
      <c r="K100" s="2" t="n">
        <v>646</v>
      </c>
    </row>
    <row r="101">
      <c r="A101" s="4">
        <f>"37557"</f>
        <v/>
      </c>
      <c r="B101" s="4" t="inlineStr">
        <is>
          <t>HKOOB36991766</t>
        </is>
      </c>
      <c r="C101" s="4" t="inlineStr">
        <is>
          <t>08/05/2026</t>
        </is>
      </c>
      <c r="D101" s="4" t="inlineStr">
        <is>
          <t>00:15:54</t>
        </is>
      </c>
      <c r="E101" s="4" t="inlineStr">
        <is>
          <t>mayo</t>
        </is>
      </c>
      <c r="F101" s="4" t="n">
        <v>2026</v>
      </c>
      <c r="G101" s="5" t="inlineStr">
        <is>
          <t>EL PINAR</t>
        </is>
      </c>
      <c r="H101" s="5" t="inlineStr">
        <is>
          <t>SIN PROVEEDOR</t>
        </is>
      </c>
      <c r="I101" s="4" t="n">
        <v>1</v>
      </c>
      <c r="J101" s="5" t="inlineStr">
        <is>
          <t>EL PINAR</t>
        </is>
      </c>
      <c r="K101" s="4" t="n">
        <v>1057</v>
      </c>
    </row>
    <row r="102">
      <c r="A102" s="2">
        <f>"119122"</f>
        <v/>
      </c>
      <c r="B102" s="2" t="inlineStr">
        <is>
          <t>HKOOB36997602</t>
        </is>
      </c>
      <c r="C102" s="2" t="inlineStr">
        <is>
          <t>08/05/2026</t>
        </is>
      </c>
      <c r="D102" s="2" t="inlineStr">
        <is>
          <t>02:48:57</t>
        </is>
      </c>
      <c r="E102" s="2" t="inlineStr">
        <is>
          <t>mayo</t>
        </is>
      </c>
      <c r="F102" s="2" t="n">
        <v>2026</v>
      </c>
      <c r="G102" s="3" t="inlineStr">
        <is>
          <t>VINA DEL MAR</t>
        </is>
      </c>
      <c r="H102" s="3" t="inlineStr">
        <is>
          <t>SIN PROVEEDOR</t>
        </is>
      </c>
      <c r="I102" s="2" t="n">
        <v>1</v>
      </c>
      <c r="J102" s="3" t="inlineStr">
        <is>
          <t>VINA DEL MAR</t>
        </is>
      </c>
      <c r="K102" s="2" t="n">
        <v>1546</v>
      </c>
    </row>
    <row r="103">
      <c r="A103" s="4">
        <f>"119123"</f>
        <v/>
      </c>
      <c r="B103" s="4" t="inlineStr">
        <is>
          <t>HKOOB36994684</t>
        </is>
      </c>
      <c r="C103" s="4" t="inlineStr">
        <is>
          <t>08/05/2026</t>
        </is>
      </c>
      <c r="D103" s="4" t="inlineStr">
        <is>
          <t>03:00:33</t>
        </is>
      </c>
      <c r="E103" s="4" t="inlineStr">
        <is>
          <t>mayo</t>
        </is>
      </c>
      <c r="F103" s="4" t="n">
        <v>2026</v>
      </c>
      <c r="G103" s="5" t="inlineStr">
        <is>
          <t>MELIPILLA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MELIPILLA</t>
        </is>
      </c>
      <c r="K103" s="4" t="n">
        <v>1668</v>
      </c>
    </row>
    <row r="104">
      <c r="A104" s="2">
        <f>"119124"</f>
        <v/>
      </c>
      <c r="B104" s="2" t="inlineStr">
        <is>
          <t>HKOOB36994673</t>
        </is>
      </c>
      <c r="C104" s="2" t="inlineStr">
        <is>
          <t>08/05/2026</t>
        </is>
      </c>
      <c r="D104" s="2" t="inlineStr">
        <is>
          <t>04:56:46</t>
        </is>
      </c>
      <c r="E104" s="2" t="inlineStr">
        <is>
          <t>mayo</t>
        </is>
      </c>
      <c r="F104" s="2" t="n">
        <v>2026</v>
      </c>
      <c r="G104" s="3" t="inlineStr">
        <is>
          <t>RANCAGUA</t>
        </is>
      </c>
      <c r="H104" s="3" t="inlineStr">
        <is>
          <t>76252773-1/GARATE Y GARATE LIMITADA</t>
        </is>
      </c>
      <c r="I104" s="2" t="n">
        <v>1</v>
      </c>
      <c r="J104" s="3" t="inlineStr">
        <is>
          <t>RANCAGUA</t>
        </is>
      </c>
      <c r="K104" s="2" t="n">
        <v>1734</v>
      </c>
    </row>
    <row r="105">
      <c r="A105" s="4">
        <f>"119125"</f>
        <v/>
      </c>
      <c r="B105" s="4" t="inlineStr">
        <is>
          <t>HKOOB36994398</t>
        </is>
      </c>
      <c r="C105" s="4" t="inlineStr">
        <is>
          <t>08/05/2026</t>
        </is>
      </c>
      <c r="D105" s="4" t="inlineStr">
        <is>
          <t>05:47:04</t>
        </is>
      </c>
      <c r="E105" s="4" t="inlineStr">
        <is>
          <t>mayo</t>
        </is>
      </c>
      <c r="F105" s="4" t="n">
        <v>2026</v>
      </c>
      <c r="G105" s="5" t="inlineStr">
        <is>
          <t>PTO MONTT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PTO MONTT</t>
        </is>
      </c>
      <c r="K105" s="4" t="n">
        <v>1809</v>
      </c>
    </row>
    <row r="106">
      <c r="A106" s="2">
        <f>"119126"</f>
        <v/>
      </c>
      <c r="B106" s="2" t="inlineStr">
        <is>
          <t>HKOOB36991781</t>
        </is>
      </c>
      <c r="C106" s="2" t="inlineStr">
        <is>
          <t>08/05/2026</t>
        </is>
      </c>
      <c r="D106" s="2" t="inlineStr">
        <is>
          <t>11:42:16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2279</v>
      </c>
    </row>
    <row r="107">
      <c r="A107" s="4">
        <f>"119127"</f>
        <v/>
      </c>
      <c r="B107" s="4" t="inlineStr">
        <is>
          <t>HKOOB36994690</t>
        </is>
      </c>
      <c r="C107" s="4" t="inlineStr">
        <is>
          <t>08/05/2026</t>
        </is>
      </c>
      <c r="D107" s="4" t="inlineStr">
        <is>
          <t>11:45:12</t>
        </is>
      </c>
      <c r="E107" s="4" t="inlineStr">
        <is>
          <t>mayo</t>
        </is>
      </c>
      <c r="F107" s="4" t="n">
        <v>2026</v>
      </c>
      <c r="G107" s="5" t="inlineStr">
        <is>
          <t>OSORNO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OSORNO</t>
        </is>
      </c>
      <c r="K107" s="4" t="n">
        <v>1645</v>
      </c>
    </row>
    <row r="108">
      <c r="A108" s="2">
        <f>"119130"</f>
        <v/>
      </c>
      <c r="B108" s="2" t="inlineStr">
        <is>
          <t>HKOOB36994693</t>
        </is>
      </c>
      <c r="C108" s="2" t="inlineStr">
        <is>
          <t>08/05/2026</t>
        </is>
      </c>
      <c r="D108" s="2" t="inlineStr">
        <is>
          <t>12:13:47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1713</v>
      </c>
    </row>
    <row r="109">
      <c r="A109" s="4">
        <f>"119128"</f>
        <v/>
      </c>
      <c r="B109" s="4" t="inlineStr">
        <is>
          <t>HKOOB36994387</t>
        </is>
      </c>
      <c r="C109" s="4" t="inlineStr">
        <is>
          <t>08/05/2026</t>
        </is>
      </c>
      <c r="D109" s="4" t="inlineStr">
        <is>
          <t>12:23:55</t>
        </is>
      </c>
      <c r="E109" s="4" t="inlineStr">
        <is>
          <t>mayo</t>
        </is>
      </c>
      <c r="F109" s="4" t="n">
        <v>2026</v>
      </c>
      <c r="G109" s="5" t="inlineStr">
        <is>
          <t>PTO MONTT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PTO MONTT</t>
        </is>
      </c>
      <c r="K109" s="4" t="n">
        <v>1532</v>
      </c>
    </row>
    <row r="110">
      <c r="A110" s="2">
        <f>"119131"</f>
        <v/>
      </c>
      <c r="B110" s="2" t="inlineStr">
        <is>
          <t>CHKO373264</t>
        </is>
      </c>
      <c r="C110" s="2" t="inlineStr">
        <is>
          <t>08/05/2026</t>
        </is>
      </c>
      <c r="D110" s="2" t="inlineStr">
        <is>
          <t>13:08:20</t>
        </is>
      </c>
      <c r="E110" s="2" t="inlineStr">
        <is>
          <t>mayo</t>
        </is>
      </c>
      <c r="F110" s="2" t="n">
        <v>2026</v>
      </c>
      <c r="G110" s="3" t="inlineStr">
        <is>
          <t>ANTOFAGASTA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ANTOFAGASTA</t>
        </is>
      </c>
      <c r="K110" s="2" t="n">
        <v>1860</v>
      </c>
    </row>
    <row r="111">
      <c r="A111" s="4">
        <f>"119132"</f>
        <v/>
      </c>
      <c r="B111" s="4" t="inlineStr">
        <is>
          <t>HKOOB36994682</t>
        </is>
      </c>
      <c r="C111" s="4" t="inlineStr">
        <is>
          <t>08/05/2026</t>
        </is>
      </c>
      <c r="D111" s="4" t="inlineStr">
        <is>
          <t>13:10:15</t>
        </is>
      </c>
      <c r="E111" s="4" t="inlineStr">
        <is>
          <t>mayo</t>
        </is>
      </c>
      <c r="F111" s="4" t="n">
        <v>2026</v>
      </c>
      <c r="G111" s="5" t="inlineStr">
        <is>
          <t>TALCA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TALCA</t>
        </is>
      </c>
      <c r="K111" s="4" t="n">
        <v>1527</v>
      </c>
    </row>
    <row r="112">
      <c r="A112" s="2">
        <f>"119134"</f>
        <v/>
      </c>
      <c r="B112" s="2" t="inlineStr">
        <is>
          <t>HKOOB36994669</t>
        </is>
      </c>
      <c r="C112" s="2" t="inlineStr">
        <is>
          <t>08/05/2026</t>
        </is>
      </c>
      <c r="D112" s="2" t="inlineStr">
        <is>
          <t>15:29:58</t>
        </is>
      </c>
      <c r="E112" s="2" t="inlineStr">
        <is>
          <t>mayo</t>
        </is>
      </c>
      <c r="F112" s="2" t="n">
        <v>2026</v>
      </c>
      <c r="G112" s="3" t="inlineStr">
        <is>
          <t>CONCEPCION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CONCEPCION</t>
        </is>
      </c>
      <c r="K112" s="2" t="n">
        <v>1838</v>
      </c>
    </row>
    <row r="113">
      <c r="A113" s="4">
        <f>"119135"</f>
        <v/>
      </c>
      <c r="B113" s="4" t="inlineStr">
        <is>
          <t>HKOOB36994679</t>
        </is>
      </c>
      <c r="C113" s="4" t="inlineStr">
        <is>
          <t>08/05/2026</t>
        </is>
      </c>
      <c r="D113" s="4" t="inlineStr">
        <is>
          <t>15:58:57</t>
        </is>
      </c>
      <c r="E113" s="4" t="inlineStr">
        <is>
          <t>mayo</t>
        </is>
      </c>
      <c r="F113" s="4" t="n">
        <v>2026</v>
      </c>
      <c r="G113" s="5" t="inlineStr">
        <is>
          <t>TEMUCO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TEMUCO</t>
        </is>
      </c>
      <c r="K113" s="4" t="n">
        <v>1597</v>
      </c>
    </row>
    <row r="114">
      <c r="A114" s="2">
        <f>"37645"</f>
        <v/>
      </c>
      <c r="B114" s="2" t="inlineStr">
        <is>
          <t>HKOOB36997592</t>
        </is>
      </c>
      <c r="C114" s="2" t="inlineStr">
        <is>
          <t>08/05/2026</t>
        </is>
      </c>
      <c r="D114" s="2" t="inlineStr">
        <is>
          <t>16:24:16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1151</v>
      </c>
    </row>
    <row r="115">
      <c r="A115" s="4">
        <f>"119138"</f>
        <v/>
      </c>
      <c r="B115" s="4" t="inlineStr">
        <is>
          <t>HKOOB36994689</t>
        </is>
      </c>
      <c r="C115" s="4" t="inlineStr">
        <is>
          <t>08/05/2026</t>
        </is>
      </c>
      <c r="D115" s="4" t="inlineStr">
        <is>
          <t>17:51:28</t>
        </is>
      </c>
      <c r="E115" s="4" t="inlineStr">
        <is>
          <t>mayo</t>
        </is>
      </c>
      <c r="F115" s="4" t="n">
        <v>2026</v>
      </c>
      <c r="G115" s="5" t="inlineStr">
        <is>
          <t>CHILLAN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CHILLAN</t>
        </is>
      </c>
      <c r="K115" s="4" t="n">
        <v>1915</v>
      </c>
    </row>
    <row r="116">
      <c r="A116" s="2">
        <f>"119136"</f>
        <v/>
      </c>
      <c r="B116" s="2" t="inlineStr">
        <is>
          <t>HKOOB36994681</t>
        </is>
      </c>
      <c r="C116" s="2" t="inlineStr">
        <is>
          <t>08/05/2026</t>
        </is>
      </c>
      <c r="D116" s="2" t="inlineStr">
        <is>
          <t>18:13:24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1679</v>
      </c>
    </row>
    <row r="117">
      <c r="A117" s="4">
        <f>"119137"</f>
        <v/>
      </c>
      <c r="B117" s="4" t="inlineStr">
        <is>
          <t>HKOOB36994678</t>
        </is>
      </c>
      <c r="C117" s="4" t="inlineStr">
        <is>
          <t>08/05/2026</t>
        </is>
      </c>
      <c r="D117" s="4" t="inlineStr">
        <is>
          <t>18:57:02</t>
        </is>
      </c>
      <c r="E117" s="4" t="inlineStr">
        <is>
          <t>mayo</t>
        </is>
      </c>
      <c r="F117" s="4" t="n">
        <v>2026</v>
      </c>
      <c r="G117" s="5" t="inlineStr">
        <is>
          <t>SAN FERNANDO</t>
        </is>
      </c>
      <c r="H117" s="5" t="inlineStr">
        <is>
          <t>76252773-1/GARATE Y GARATE LIMITADA</t>
        </is>
      </c>
      <c r="I117" s="4" t="n">
        <v>1</v>
      </c>
      <c r="J117" s="5" t="inlineStr">
        <is>
          <t>SAN FERNANDO</t>
        </is>
      </c>
      <c r="K117" s="4" t="n">
        <v>647</v>
      </c>
    </row>
    <row r="118">
      <c r="A118" s="2">
        <f>"119139"</f>
        <v/>
      </c>
      <c r="B118" s="2" t="inlineStr">
        <is>
          <t>HKOOB36997603</t>
        </is>
      </c>
      <c r="C118" s="2" t="inlineStr">
        <is>
          <t>08/05/2026</t>
        </is>
      </c>
      <c r="D118" s="2" t="inlineStr">
        <is>
          <t>19:35:16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1483</v>
      </c>
    </row>
    <row r="119">
      <c r="A119" s="4">
        <f>"37666"</f>
        <v/>
      </c>
      <c r="B119" s="4" t="inlineStr">
        <is>
          <t>HKOOB36997594</t>
        </is>
      </c>
      <c r="C119" s="4" t="inlineStr">
        <is>
          <t>08/05/2026</t>
        </is>
      </c>
      <c r="D119" s="4" t="inlineStr">
        <is>
          <t>19:38:00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SIN PROVEEDOR</t>
        </is>
      </c>
      <c r="I119" s="4" t="n">
        <v>1</v>
      </c>
      <c r="J119" s="5" t="inlineStr">
        <is>
          <t>LO ESPEJO</t>
        </is>
      </c>
      <c r="K119" s="4" t="n">
        <v>1508</v>
      </c>
    </row>
    <row r="120">
      <c r="A120" s="2">
        <f>"119140"</f>
        <v/>
      </c>
      <c r="B120" s="2" t="inlineStr">
        <is>
          <t>HKOOB36994670</t>
        </is>
      </c>
      <c r="C120" s="2" t="inlineStr">
        <is>
          <t>08/05/2026</t>
        </is>
      </c>
      <c r="D120" s="2" t="inlineStr">
        <is>
          <t>20:24:51</t>
        </is>
      </c>
      <c r="E120" s="2" t="inlineStr">
        <is>
          <t>mayo</t>
        </is>
      </c>
      <c r="F120" s="2" t="n">
        <v>2026</v>
      </c>
      <c r="G120" s="3" t="inlineStr">
        <is>
          <t>CONCEPCION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CONCEPCION</t>
        </is>
      </c>
      <c r="K120" s="2" t="n">
        <v>2149</v>
      </c>
    </row>
    <row r="121">
      <c r="A121" s="4">
        <f>"37674"</f>
        <v/>
      </c>
      <c r="B121" s="4" t="inlineStr">
        <is>
          <t>HKOOB36997595</t>
        </is>
      </c>
      <c r="C121" s="4" t="inlineStr">
        <is>
          <t>08/05/2026</t>
        </is>
      </c>
      <c r="D121" s="4" t="inlineStr">
        <is>
          <t>20:44:31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1200</v>
      </c>
    </row>
    <row r="122">
      <c r="A122" s="2">
        <f>"119141"</f>
        <v/>
      </c>
      <c r="B122" s="2" t="inlineStr">
        <is>
          <t>HKOOB36994683</t>
        </is>
      </c>
      <c r="C122" s="2" t="inlineStr">
        <is>
          <t>08/05/2026</t>
        </is>
      </c>
      <c r="D122" s="2" t="inlineStr">
        <is>
          <t>20:48:07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1552</v>
      </c>
    </row>
    <row r="123">
      <c r="A123" s="4">
        <f>"37703"</f>
        <v/>
      </c>
      <c r="B123" s="4" t="inlineStr">
        <is>
          <t>HKOOB36997607</t>
        </is>
      </c>
      <c r="C123" s="4" t="inlineStr">
        <is>
          <t>09/05/2026</t>
        </is>
      </c>
      <c r="D123" s="4" t="inlineStr">
        <is>
          <t>00:58:23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1288</v>
      </c>
    </row>
    <row r="124">
      <c r="A124" s="2">
        <f>"119143"</f>
        <v/>
      </c>
      <c r="B124" s="2" t="inlineStr">
        <is>
          <t>HKOOB37004404</t>
        </is>
      </c>
      <c r="C124" s="2" t="inlineStr">
        <is>
          <t>09/05/2026</t>
        </is>
      </c>
      <c r="D124" s="2" t="inlineStr">
        <is>
          <t>01:11:24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1846</v>
      </c>
    </row>
    <row r="125">
      <c r="A125" s="4">
        <f>"37706"</f>
        <v/>
      </c>
      <c r="B125" s="4" t="inlineStr">
        <is>
          <t>HKOOB36997596</t>
        </is>
      </c>
      <c r="C125" s="4" t="inlineStr">
        <is>
          <t>09/05/2026</t>
        </is>
      </c>
      <c r="D125" s="4" t="inlineStr">
        <is>
          <t>01:41:51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1478</v>
      </c>
    </row>
    <row r="126">
      <c r="A126" s="2">
        <f>"37710"</f>
        <v/>
      </c>
      <c r="B126" s="2" t="inlineStr">
        <is>
          <t>HKOOB36997598</t>
        </is>
      </c>
      <c r="C126" s="2" t="inlineStr">
        <is>
          <t>09/05/2026</t>
        </is>
      </c>
      <c r="D126" s="2" t="inlineStr">
        <is>
          <t>03:33:51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1513</v>
      </c>
    </row>
    <row r="127">
      <c r="A127" s="4">
        <f>"37716"</f>
        <v/>
      </c>
      <c r="B127" s="4" t="inlineStr">
        <is>
          <t>HKOOB36997599</t>
        </is>
      </c>
      <c r="C127" s="4" t="inlineStr">
        <is>
          <t>09/05/2026</t>
        </is>
      </c>
      <c r="D127" s="4" t="inlineStr">
        <is>
          <t>04:34:47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1138</v>
      </c>
    </row>
    <row r="128">
      <c r="A128" s="2">
        <f>"119145"</f>
        <v/>
      </c>
      <c r="B128" s="2" t="inlineStr">
        <is>
          <t>HKOOB37005498</t>
        </is>
      </c>
      <c r="C128" s="2" t="inlineStr">
        <is>
          <t>09/05/2026</t>
        </is>
      </c>
      <c r="D128" s="2" t="inlineStr">
        <is>
          <t>05:23:40</t>
        </is>
      </c>
      <c r="E128" s="2" t="inlineStr">
        <is>
          <t>mayo</t>
        </is>
      </c>
      <c r="F128" s="2" t="n">
        <v>2026</v>
      </c>
      <c r="G128" s="3" t="inlineStr">
        <is>
          <t>LOS ANDES</t>
        </is>
      </c>
      <c r="H128" s="3" t="inlineStr">
        <is>
          <t>77970090-9/TRANSPORTES DONA ISIDORA (LABBE)</t>
        </is>
      </c>
      <c r="I128" s="2" t="n">
        <v>1</v>
      </c>
      <c r="J128" s="3" t="inlineStr">
        <is>
          <t>LOS ANDES</t>
        </is>
      </c>
      <c r="K128" s="2" t="n">
        <v>1742</v>
      </c>
    </row>
    <row r="129">
      <c r="A129" s="4">
        <f>"37724"</f>
        <v/>
      </c>
      <c r="B129" s="4" t="inlineStr">
        <is>
          <t>HKOOB36997600</t>
        </is>
      </c>
      <c r="C129" s="4" t="inlineStr">
        <is>
          <t>09/05/2026</t>
        </is>
      </c>
      <c r="D129" s="4" t="inlineStr">
        <is>
          <t>06:26:19</t>
        </is>
      </c>
      <c r="E129" s="4" t="inlineStr">
        <is>
          <t>mayo</t>
        </is>
      </c>
      <c r="F129" s="4" t="n">
        <v>2026</v>
      </c>
      <c r="G129" s="5" t="inlineStr">
        <is>
          <t>LO ESPEJO</t>
        </is>
      </c>
      <c r="H129" s="5" t="inlineStr">
        <is>
          <t>SIN PROVEEDOR</t>
        </is>
      </c>
      <c r="I129" s="4" t="n">
        <v>1</v>
      </c>
      <c r="J129" s="5" t="inlineStr">
        <is>
          <t>LO ESPEJO</t>
        </is>
      </c>
      <c r="K129" s="4" t="n">
        <v>1043</v>
      </c>
    </row>
    <row r="130">
      <c r="A130" s="2">
        <f>"119146"</f>
        <v/>
      </c>
      <c r="B130" s="2" t="inlineStr">
        <is>
          <t>HKOOB37004407</t>
        </is>
      </c>
      <c r="C130" s="2" t="inlineStr">
        <is>
          <t>09/05/2026</t>
        </is>
      </c>
      <c r="D130" s="2" t="inlineStr">
        <is>
          <t>08:49:10</t>
        </is>
      </c>
      <c r="E130" s="2" t="inlineStr">
        <is>
          <t>mayo</t>
        </is>
      </c>
      <c r="F130" s="2" t="n">
        <v>2026</v>
      </c>
      <c r="G130" s="3" t="inlineStr">
        <is>
          <t>MELIPILLA</t>
        </is>
      </c>
      <c r="H130" s="3" t="inlineStr">
        <is>
          <t>77970090-9/TRANSPORTES DONA ISIDORA (LABBE)</t>
        </is>
      </c>
      <c r="I130" s="2" t="n">
        <v>1</v>
      </c>
      <c r="J130" s="3" t="inlineStr">
        <is>
          <t>MELIPILLA</t>
        </is>
      </c>
      <c r="K130" s="2" t="n">
        <v>1703</v>
      </c>
    </row>
    <row r="131">
      <c r="A131" s="4">
        <f>"119147"</f>
        <v/>
      </c>
      <c r="B131" s="4" t="inlineStr">
        <is>
          <t>HKOOB37004421</t>
        </is>
      </c>
      <c r="C131" s="4" t="inlineStr">
        <is>
          <t>09/05/2026</t>
        </is>
      </c>
      <c r="D131" s="4" t="inlineStr">
        <is>
          <t>09:56:16</t>
        </is>
      </c>
      <c r="E131" s="4" t="inlineStr">
        <is>
          <t>mayo</t>
        </is>
      </c>
      <c r="F131" s="4" t="n">
        <v>2026</v>
      </c>
      <c r="G131" s="5" t="inlineStr">
        <is>
          <t>LA SERENA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LA SERENA</t>
        </is>
      </c>
      <c r="K131" s="4" t="n">
        <v>1587</v>
      </c>
    </row>
    <row r="132">
      <c r="A132" s="2">
        <f>"119149"</f>
        <v/>
      </c>
      <c r="B132" s="2" t="inlineStr">
        <is>
          <t>HKOOB37006584</t>
        </is>
      </c>
      <c r="C132" s="2" t="inlineStr">
        <is>
          <t>09/05/2026</t>
        </is>
      </c>
      <c r="D132" s="2" t="inlineStr">
        <is>
          <t>10:13:00</t>
        </is>
      </c>
      <c r="E132" s="2" t="inlineStr">
        <is>
          <t>mayo</t>
        </is>
      </c>
      <c r="F132" s="2" t="n">
        <v>2026</v>
      </c>
      <c r="G132" s="3" t="inlineStr">
        <is>
          <t>IQUIQUE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IQUIQUE</t>
        </is>
      </c>
      <c r="K132" s="2" t="n">
        <v>1727</v>
      </c>
    </row>
    <row r="133">
      <c r="A133" s="4">
        <f>"119148"</f>
        <v/>
      </c>
      <c r="B133" s="4" t="inlineStr">
        <is>
          <t>HKOOB37004405</t>
        </is>
      </c>
      <c r="C133" s="4" t="inlineStr">
        <is>
          <t>09/05/2026</t>
        </is>
      </c>
      <c r="D133" s="4" t="inlineStr">
        <is>
          <t>10:21:31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1802</v>
      </c>
    </row>
    <row r="134">
      <c r="A134" s="2">
        <f>"37761"</f>
        <v/>
      </c>
      <c r="B134" s="2" t="inlineStr">
        <is>
          <t>HKOOB37004437</t>
        </is>
      </c>
      <c r="C134" s="2" t="inlineStr">
        <is>
          <t>09/05/2026</t>
        </is>
      </c>
      <c r="D134" s="2" t="inlineStr">
        <is>
          <t>10:59:58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1320</v>
      </c>
    </row>
    <row r="135">
      <c r="A135" s="4">
        <f>"119150"</f>
        <v/>
      </c>
      <c r="B135" s="4" t="inlineStr">
        <is>
          <t>HKOOB37004422</t>
        </is>
      </c>
      <c r="C135" s="4" t="inlineStr">
        <is>
          <t>09/05/2026</t>
        </is>
      </c>
      <c r="D135" s="4" t="inlineStr">
        <is>
          <t>11:05:41</t>
        </is>
      </c>
      <c r="E135" s="4" t="inlineStr">
        <is>
          <t>mayo</t>
        </is>
      </c>
      <c r="F135" s="4" t="n">
        <v>2026</v>
      </c>
      <c r="G135" s="5" t="inlineStr">
        <is>
          <t>PTO MONTT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PTO MONTT</t>
        </is>
      </c>
      <c r="K135" s="4" t="n">
        <v>1566</v>
      </c>
    </row>
    <row r="136">
      <c r="A136" s="2">
        <f>"119151"</f>
        <v/>
      </c>
      <c r="B136" s="2" t="inlineStr">
        <is>
          <t>HKOOB37004419</t>
        </is>
      </c>
      <c r="C136" s="2" t="inlineStr">
        <is>
          <t>09/05/2026</t>
        </is>
      </c>
      <c r="D136" s="2" t="inlineStr">
        <is>
          <t>11:09:55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TALCA</t>
        </is>
      </c>
      <c r="K136" s="2" t="n">
        <v>1669</v>
      </c>
    </row>
    <row r="137">
      <c r="A137" s="4">
        <f>"119152"</f>
        <v/>
      </c>
      <c r="B137" s="4" t="inlineStr">
        <is>
          <t>HKOOB37005489</t>
        </is>
      </c>
      <c r="C137" s="4" t="inlineStr">
        <is>
          <t>09/05/2026</t>
        </is>
      </c>
      <c r="D137" s="4" t="inlineStr">
        <is>
          <t>11:31:48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16575553-7/GABRIEL ALEJANDRO ESTAY CARRAZANA</t>
        </is>
      </c>
      <c r="I137" s="4" t="n">
        <v>1</v>
      </c>
      <c r="J137" s="5" t="inlineStr">
        <is>
          <t>VINA DEL MAR</t>
        </is>
      </c>
      <c r="K137" s="4" t="n">
        <v>1434</v>
      </c>
    </row>
    <row r="138">
      <c r="A138" s="2">
        <f>"37767"</f>
        <v/>
      </c>
      <c r="B138" s="2" t="inlineStr">
        <is>
          <t>HKOOB37005494</t>
        </is>
      </c>
      <c r="C138" s="2" t="inlineStr">
        <is>
          <t>09/05/2026</t>
        </is>
      </c>
      <c r="D138" s="2" t="inlineStr">
        <is>
          <t>11:56:47</t>
        </is>
      </c>
      <c r="E138" s="2" t="inlineStr">
        <is>
          <t>mayo</t>
        </is>
      </c>
      <c r="F138" s="2" t="n">
        <v>2026</v>
      </c>
      <c r="G138" s="3" t="inlineStr">
        <is>
          <t>EL PINAR</t>
        </is>
      </c>
      <c r="H138" s="3" t="inlineStr">
        <is>
          <t>SIN PROVEEDOR</t>
        </is>
      </c>
      <c r="I138" s="2" t="n">
        <v>1</v>
      </c>
      <c r="J138" s="3" t="inlineStr">
        <is>
          <t>EL PINAR</t>
        </is>
      </c>
      <c r="K138" s="2" t="n">
        <v>1050</v>
      </c>
    </row>
    <row r="139">
      <c r="A139" s="4">
        <f>"119155"</f>
        <v/>
      </c>
      <c r="B139" s="4" t="inlineStr">
        <is>
          <t>HKOOB37004414</t>
        </is>
      </c>
      <c r="C139" s="4" t="inlineStr">
        <is>
          <t>09/05/2026</t>
        </is>
      </c>
      <c r="D139" s="4" t="inlineStr">
        <is>
          <t>14:01:47</t>
        </is>
      </c>
      <c r="E139" s="4" t="inlineStr">
        <is>
          <t>mayo</t>
        </is>
      </c>
      <c r="F139" s="4" t="n">
        <v>2026</v>
      </c>
      <c r="G139" s="5" t="inlineStr">
        <is>
          <t>ANTOFAGASTA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ANTOFAGASTA</t>
        </is>
      </c>
      <c r="K139" s="4" t="n">
        <v>2051</v>
      </c>
    </row>
    <row r="140">
      <c r="A140" s="2">
        <f>"119153"</f>
        <v/>
      </c>
      <c r="B140" s="2" t="inlineStr">
        <is>
          <t>HKOOB37004415</t>
        </is>
      </c>
      <c r="C140" s="2" t="inlineStr">
        <is>
          <t>09/05/2026</t>
        </is>
      </c>
      <c r="D140" s="2" t="inlineStr">
        <is>
          <t>15:02:06</t>
        </is>
      </c>
      <c r="E140" s="2" t="inlineStr">
        <is>
          <t>mayo</t>
        </is>
      </c>
      <c r="F140" s="2" t="n">
        <v>2026</v>
      </c>
      <c r="G140" s="3" t="inlineStr">
        <is>
          <t>ANTOFAGASTA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ANTOFAGASTA</t>
        </is>
      </c>
      <c r="K140" s="2" t="n">
        <v>1798</v>
      </c>
    </row>
    <row r="141">
      <c r="A141" s="4">
        <f>"119154"</f>
        <v/>
      </c>
      <c r="B141" s="4" t="inlineStr">
        <is>
          <t>HKOOB37004420</t>
        </is>
      </c>
      <c r="C141" s="4" t="inlineStr">
        <is>
          <t>09/05/2026</t>
        </is>
      </c>
      <c r="D141" s="4" t="inlineStr">
        <is>
          <t>15:45:04</t>
        </is>
      </c>
      <c r="E141" s="4" t="inlineStr">
        <is>
          <t>mayo</t>
        </is>
      </c>
      <c r="F141" s="4" t="n">
        <v>2026</v>
      </c>
      <c r="G141" s="5" t="inlineStr">
        <is>
          <t>TALCA</t>
        </is>
      </c>
      <c r="H141" s="5" t="inlineStr">
        <is>
          <t>77636200-K/TRANSPORTES SAN GABRIEL LTDA.</t>
        </is>
      </c>
      <c r="I141" s="4" t="n">
        <v>1</v>
      </c>
      <c r="J141" s="5" t="inlineStr">
        <is>
          <t>TALCA</t>
        </is>
      </c>
      <c r="K141" s="4" t="n">
        <v>1295</v>
      </c>
    </row>
    <row r="142">
      <c r="A142" s="2">
        <f>"37786"</f>
        <v/>
      </c>
      <c r="B142" s="2" t="inlineStr">
        <is>
          <t>HKOOB36963796</t>
        </is>
      </c>
      <c r="C142" s="2" t="inlineStr">
        <is>
          <t>09/05/2026</t>
        </is>
      </c>
      <c r="D142" s="2" t="inlineStr">
        <is>
          <t>16:03:45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1351</v>
      </c>
    </row>
    <row r="143">
      <c r="A143" s="4">
        <f>"119156"</f>
        <v/>
      </c>
      <c r="B143" s="4" t="inlineStr">
        <is>
          <t>HKOOB37005490</t>
        </is>
      </c>
      <c r="C143" s="4" t="inlineStr">
        <is>
          <t>09/05/2026</t>
        </is>
      </c>
      <c r="D143" s="4" t="inlineStr">
        <is>
          <t>16:47:17</t>
        </is>
      </c>
      <c r="E143" s="4" t="inlineStr">
        <is>
          <t>mayo</t>
        </is>
      </c>
      <c r="F143" s="4" t="n">
        <v>2026</v>
      </c>
      <c r="G143" s="5" t="inlineStr">
        <is>
          <t>VINA DEL MAR</t>
        </is>
      </c>
      <c r="H143" s="5" t="inlineStr">
        <is>
          <t>16575553-7/GABRIEL ALEJANDRO ESTAY CARRAZANA</t>
        </is>
      </c>
      <c r="I143" s="4" t="n">
        <v>1</v>
      </c>
      <c r="J143" s="5" t="inlineStr">
        <is>
          <t>VINA DEL MAR</t>
        </is>
      </c>
      <c r="K143" s="4" t="n">
        <v>1639</v>
      </c>
    </row>
    <row r="144">
      <c r="A144" s="2">
        <f>"119157"</f>
        <v/>
      </c>
      <c r="B144" s="2" t="inlineStr">
        <is>
          <t>HKOOB37004417</t>
        </is>
      </c>
      <c r="C144" s="2" t="inlineStr">
        <is>
          <t>09/05/2026</t>
        </is>
      </c>
      <c r="D144" s="2" t="inlineStr">
        <is>
          <t>17:46:48</t>
        </is>
      </c>
      <c r="E144" s="2" t="inlineStr">
        <is>
          <t>mayo</t>
        </is>
      </c>
      <c r="F144" s="2" t="n">
        <v>2026</v>
      </c>
      <c r="G144" s="3" t="inlineStr">
        <is>
          <t>TEMUCO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TEMUCO</t>
        </is>
      </c>
      <c r="K144" s="2" t="n">
        <v>1799</v>
      </c>
    </row>
    <row r="145">
      <c r="A145" s="4">
        <f>"119158"</f>
        <v/>
      </c>
      <c r="B145" s="4" t="inlineStr">
        <is>
          <t>HKOOB37004412</t>
        </is>
      </c>
      <c r="C145" s="4" t="inlineStr">
        <is>
          <t>09/05/2026</t>
        </is>
      </c>
      <c r="D145" s="4" t="inlineStr">
        <is>
          <t>17:49:47</t>
        </is>
      </c>
      <c r="E145" s="4" t="inlineStr">
        <is>
          <t>mayo</t>
        </is>
      </c>
      <c r="F145" s="4" t="n">
        <v>2026</v>
      </c>
      <c r="G145" s="5" t="inlineStr">
        <is>
          <t>LOS ANGELES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LOS ANGELES</t>
        </is>
      </c>
      <c r="K145" s="4" t="n">
        <v>1681</v>
      </c>
    </row>
    <row r="146">
      <c r="A146" s="2">
        <f>"37807"</f>
        <v/>
      </c>
      <c r="B146" s="2" t="inlineStr">
        <is>
          <t>HKOOB37004440</t>
        </is>
      </c>
      <c r="C146" s="2" t="inlineStr">
        <is>
          <t>09/05/2026</t>
        </is>
      </c>
      <c r="D146" s="2" t="inlineStr">
        <is>
          <t>18:01:26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1584</v>
      </c>
    </row>
    <row r="147">
      <c r="A147" s="4">
        <f>"119159"</f>
        <v/>
      </c>
      <c r="B147" s="4" t="inlineStr">
        <is>
          <t>HKOOB37004410</t>
        </is>
      </c>
      <c r="C147" s="4" t="inlineStr">
        <is>
          <t>09/05/2026</t>
        </is>
      </c>
      <c r="D147" s="4" t="inlineStr">
        <is>
          <t>18:23:23</t>
        </is>
      </c>
      <c r="E147" s="4" t="inlineStr">
        <is>
          <t>mayo</t>
        </is>
      </c>
      <c r="F147" s="4" t="n">
        <v>2026</v>
      </c>
      <c r="G147" s="5" t="inlineStr">
        <is>
          <t>CHILLAN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CHILLAN</t>
        </is>
      </c>
      <c r="K147" s="4" t="n">
        <v>1849</v>
      </c>
    </row>
    <row r="148">
      <c r="A148" s="2">
        <f>"37813"</f>
        <v/>
      </c>
      <c r="B148" s="2" t="inlineStr">
        <is>
          <t>HKOOB37004441</t>
        </is>
      </c>
      <c r="C148" s="2" t="inlineStr">
        <is>
          <t>10/05/2026</t>
        </is>
      </c>
      <c r="D148" s="2" t="inlineStr">
        <is>
          <t>00:34:38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1317</v>
      </c>
    </row>
    <row r="149">
      <c r="A149" s="4">
        <f>"37814"</f>
        <v/>
      </c>
      <c r="B149" s="4" t="inlineStr">
        <is>
          <t>HKOOB37005496</t>
        </is>
      </c>
      <c r="C149" s="4" t="inlineStr">
        <is>
          <t>10/05/2026</t>
        </is>
      </c>
      <c r="D149" s="4" t="inlineStr">
        <is>
          <t>00:51:03</t>
        </is>
      </c>
      <c r="E149" s="4" t="inlineStr">
        <is>
          <t>mayo</t>
        </is>
      </c>
      <c r="F149" s="4" t="n">
        <v>2026</v>
      </c>
      <c r="G149" s="5" t="inlineStr">
        <is>
          <t>EL PINAR</t>
        </is>
      </c>
      <c r="H149" s="5" t="inlineStr">
        <is>
          <t>SIN PROVEEDOR</t>
        </is>
      </c>
      <c r="I149" s="4" t="n">
        <v>1</v>
      </c>
      <c r="J149" s="5" t="inlineStr">
        <is>
          <t>EL PINAR</t>
        </is>
      </c>
      <c r="K149" s="4" t="n">
        <v>1178</v>
      </c>
    </row>
    <row r="150">
      <c r="A150" s="2">
        <f>"119160"</f>
        <v/>
      </c>
      <c r="B150" s="2" t="inlineStr">
        <is>
          <t>HKOOB37006585</t>
        </is>
      </c>
      <c r="C150" s="2" t="inlineStr">
        <is>
          <t>10/05/2026</t>
        </is>
      </c>
      <c r="D150" s="2" t="inlineStr">
        <is>
          <t>00:57:32</t>
        </is>
      </c>
      <c r="E150" s="2" t="inlineStr">
        <is>
          <t>mayo</t>
        </is>
      </c>
      <c r="F150" s="2" t="n">
        <v>2026</v>
      </c>
      <c r="G150" s="3" t="inlineStr">
        <is>
          <t>IQUIQUE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IQUIQUE</t>
        </is>
      </c>
      <c r="K150" s="2" t="n">
        <v>1722</v>
      </c>
    </row>
    <row r="151">
      <c r="A151" s="4">
        <f>"37819"</f>
        <v/>
      </c>
      <c r="B151" s="4" t="inlineStr">
        <is>
          <t>HKOOB37004442</t>
        </is>
      </c>
      <c r="C151" s="4" t="inlineStr">
        <is>
          <t>10/05/2026</t>
        </is>
      </c>
      <c r="D151" s="4" t="inlineStr">
        <is>
          <t>02:16:28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1359</v>
      </c>
    </row>
    <row r="152">
      <c r="A152" s="2">
        <f>"37821"</f>
        <v/>
      </c>
      <c r="B152" s="2" t="inlineStr">
        <is>
          <t>HKOOB37004443</t>
        </is>
      </c>
      <c r="C152" s="2" t="inlineStr">
        <is>
          <t>10/05/2026</t>
        </is>
      </c>
      <c r="D152" s="2" t="inlineStr">
        <is>
          <t>03:16:09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1717</v>
      </c>
    </row>
    <row r="153">
      <c r="A153" s="4">
        <f>"119161"</f>
        <v/>
      </c>
      <c r="B153" s="4" t="inlineStr">
        <is>
          <t>HKOOB37011935</t>
        </is>
      </c>
      <c r="C153" s="4" t="inlineStr">
        <is>
          <t>10/05/2026</t>
        </is>
      </c>
      <c r="D153" s="4" t="inlineStr">
        <is>
          <t>04:19:18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ANTOFAGASTA</t>
        </is>
      </c>
      <c r="K153" s="4" t="n">
        <v>1814</v>
      </c>
    </row>
    <row r="154">
      <c r="A154" s="2">
        <f>"119162"</f>
        <v/>
      </c>
      <c r="B154" s="2" t="inlineStr">
        <is>
          <t>HKOOB37005497</t>
        </is>
      </c>
      <c r="C154" s="2" t="inlineStr">
        <is>
          <t>10/05/2026</t>
        </is>
      </c>
      <c r="D154" s="2" t="inlineStr">
        <is>
          <t>04:27:42</t>
        </is>
      </c>
      <c r="E154" s="2" t="inlineStr">
        <is>
          <t>mayo</t>
        </is>
      </c>
      <c r="F154" s="2" t="n">
        <v>2026</v>
      </c>
      <c r="G154" s="3" t="inlineStr">
        <is>
          <t>RANCAGUA</t>
        </is>
      </c>
      <c r="H154" s="3" t="inlineStr">
        <is>
          <t>76252773-1/GARATE Y GARATE LIMITADA</t>
        </is>
      </c>
      <c r="I154" s="2" t="n">
        <v>1</v>
      </c>
      <c r="J154" s="3" t="inlineStr">
        <is>
          <t>RANCAGUA</t>
        </is>
      </c>
      <c r="K154" s="2" t="n">
        <v>1823</v>
      </c>
    </row>
    <row r="155">
      <c r="A155" s="4">
        <f>"119163"</f>
        <v/>
      </c>
      <c r="B155" s="4" t="inlineStr">
        <is>
          <t>HKOOB37011921</t>
        </is>
      </c>
      <c r="C155" s="4" t="inlineStr">
        <is>
          <t>10/05/2026</t>
        </is>
      </c>
      <c r="D155" s="4" t="inlineStr">
        <is>
          <t>05:22:03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1684</v>
      </c>
    </row>
    <row r="156">
      <c r="A156" s="2">
        <f>"37833"</f>
        <v/>
      </c>
      <c r="B156" s="2" t="inlineStr">
        <is>
          <t>HKOOB37004445</t>
        </is>
      </c>
      <c r="C156" s="2" t="inlineStr">
        <is>
          <t>10/05/2026</t>
        </is>
      </c>
      <c r="D156" s="2" t="inlineStr">
        <is>
          <t>06:02:08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1519</v>
      </c>
    </row>
    <row r="157">
      <c r="A157" s="4">
        <f>"119164"</f>
        <v/>
      </c>
      <c r="B157" s="4" t="inlineStr">
        <is>
          <t>HKOOB37004418</t>
        </is>
      </c>
      <c r="C157" s="4" t="inlineStr">
        <is>
          <t>10/05/2026</t>
        </is>
      </c>
      <c r="D157" s="4" t="inlineStr">
        <is>
          <t>08:39:05</t>
        </is>
      </c>
      <c r="E157" s="4" t="inlineStr">
        <is>
          <t>mayo</t>
        </is>
      </c>
      <c r="F157" s="4" t="n">
        <v>2026</v>
      </c>
      <c r="G157" s="5" t="inlineStr">
        <is>
          <t>LOS ANDES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LOS ANDES</t>
        </is>
      </c>
      <c r="K157" s="4" t="n">
        <v>1723</v>
      </c>
    </row>
    <row r="158">
      <c r="A158" s="2">
        <f>"119165"</f>
        <v/>
      </c>
      <c r="B158" s="2" t="inlineStr">
        <is>
          <t>HKOOB37005491</t>
        </is>
      </c>
      <c r="C158" s="2" t="inlineStr">
        <is>
          <t>10/05/2026</t>
        </is>
      </c>
      <c r="D158" s="2" t="inlineStr">
        <is>
          <t>09:55:47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SIN PROVEEDOR</t>
        </is>
      </c>
      <c r="I158" s="2" t="n">
        <v>1</v>
      </c>
      <c r="J158" s="3" t="inlineStr">
        <is>
          <t>VINA DEL MAR</t>
        </is>
      </c>
      <c r="K158" s="2" t="n">
        <v>1755</v>
      </c>
    </row>
    <row r="159">
      <c r="A159" s="4">
        <f>"119166"</f>
        <v/>
      </c>
      <c r="B159" s="4" t="inlineStr">
        <is>
          <t>HKOOB37011926</t>
        </is>
      </c>
      <c r="C159" s="4" t="inlineStr">
        <is>
          <t>10/05/2026</t>
        </is>
      </c>
      <c r="D159" s="4" t="inlineStr">
        <is>
          <t>10:44:45</t>
        </is>
      </c>
      <c r="E159" s="4" t="inlineStr">
        <is>
          <t>mayo</t>
        </is>
      </c>
      <c r="F159" s="4" t="n">
        <v>2026</v>
      </c>
      <c r="G159" s="5" t="inlineStr">
        <is>
          <t>CONCEPCION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CONCEPCION</t>
        </is>
      </c>
      <c r="K159" s="4" t="n">
        <v>1572</v>
      </c>
    </row>
    <row r="160">
      <c r="A160" s="2">
        <f>"119167"</f>
        <v/>
      </c>
      <c r="B160" s="2" t="inlineStr">
        <is>
          <t>CHKO373484</t>
        </is>
      </c>
      <c r="C160" s="2" t="inlineStr">
        <is>
          <t>10/05/2026</t>
        </is>
      </c>
      <c r="D160" s="2" t="inlineStr">
        <is>
          <t>11:07:38</t>
        </is>
      </c>
      <c r="E160" s="2" t="inlineStr">
        <is>
          <t>mayo</t>
        </is>
      </c>
      <c r="F160" s="2" t="n">
        <v>2026</v>
      </c>
      <c r="G160" s="3" t="inlineStr">
        <is>
          <t>RANCAGUA</t>
        </is>
      </c>
      <c r="H160" s="3" t="inlineStr">
        <is>
          <t>SIN PROVEEDOR</t>
        </is>
      </c>
      <c r="I160" s="2" t="n">
        <v>1</v>
      </c>
      <c r="J160" s="3" t="inlineStr">
        <is>
          <t>RANCAGUA</t>
        </is>
      </c>
      <c r="K160" s="2" t="n">
        <v>1249</v>
      </c>
    </row>
    <row r="161">
      <c r="A161" s="4">
        <f>"119168"</f>
        <v/>
      </c>
      <c r="B161" s="4" t="inlineStr">
        <is>
          <t>HKOOB37005499</t>
        </is>
      </c>
      <c r="C161" s="4" t="inlineStr">
        <is>
          <t>10/05/2026</t>
        </is>
      </c>
      <c r="D161" s="4" t="inlineStr">
        <is>
          <t>11:56:41</t>
        </is>
      </c>
      <c r="E161" s="4" t="inlineStr">
        <is>
          <t>mayo</t>
        </is>
      </c>
      <c r="F161" s="4" t="n">
        <v>2026</v>
      </c>
      <c r="G161" s="5" t="inlineStr">
        <is>
          <t>MELIPILLA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MELIPILLA</t>
        </is>
      </c>
      <c r="K161" s="4" t="n">
        <v>1682</v>
      </c>
    </row>
    <row r="162">
      <c r="A162" s="2">
        <f>"119171"</f>
        <v/>
      </c>
      <c r="B162" s="2" t="inlineStr">
        <is>
          <t>HKOOB37005492</t>
        </is>
      </c>
      <c r="C162" s="2" t="inlineStr">
        <is>
          <t>10/05/2026</t>
        </is>
      </c>
      <c r="D162" s="2" t="inlineStr">
        <is>
          <t>12:47:39</t>
        </is>
      </c>
      <c r="E162" s="2" t="inlineStr">
        <is>
          <t>mayo</t>
        </is>
      </c>
      <c r="F162" s="2" t="n">
        <v>2026</v>
      </c>
      <c r="G162" s="3" t="inlineStr">
        <is>
          <t>VINA DEL MAR</t>
        </is>
      </c>
      <c r="H162" s="3" t="inlineStr">
        <is>
          <t>SIN PROVEEDOR</t>
        </is>
      </c>
      <c r="I162" s="2" t="n">
        <v>1</v>
      </c>
      <c r="J162" s="3" t="inlineStr">
        <is>
          <t>VINA DEL MAR</t>
        </is>
      </c>
      <c r="K162" s="2" t="n">
        <v>1735</v>
      </c>
    </row>
    <row r="163">
      <c r="A163" s="4">
        <f>"119169"</f>
        <v/>
      </c>
      <c r="B163" s="4" t="inlineStr">
        <is>
          <t>HKOOB37004403</t>
        </is>
      </c>
      <c r="C163" s="4" t="inlineStr">
        <is>
          <t>10/05/2026</t>
        </is>
      </c>
      <c r="D163" s="4" t="inlineStr">
        <is>
          <t>12:52:36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2122</v>
      </c>
    </row>
    <row r="164">
      <c r="A164" s="2">
        <f>"119170"</f>
        <v/>
      </c>
      <c r="B164" s="2" t="inlineStr">
        <is>
          <t>HKOOB37011940</t>
        </is>
      </c>
      <c r="C164" s="2" t="inlineStr">
        <is>
          <t>10/05/2026</t>
        </is>
      </c>
      <c r="D164" s="2" t="inlineStr">
        <is>
          <t>13:17:39</t>
        </is>
      </c>
      <c r="E164" s="2" t="inlineStr">
        <is>
          <t>mayo</t>
        </is>
      </c>
      <c r="F164" s="2" t="n">
        <v>2026</v>
      </c>
      <c r="G164" s="3" t="inlineStr">
        <is>
          <t>OSORNO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OSORNO</t>
        </is>
      </c>
      <c r="K164" s="2" t="n">
        <v>1644</v>
      </c>
    </row>
    <row r="165">
      <c r="A165" s="4">
        <f>"119172"</f>
        <v/>
      </c>
      <c r="B165" s="4" t="inlineStr">
        <is>
          <t>HKOOB37011937</t>
        </is>
      </c>
      <c r="C165" s="4" t="inlineStr">
        <is>
          <t>11/05/2026</t>
        </is>
      </c>
      <c r="D165" s="4" t="inlineStr">
        <is>
          <t>09:19:58</t>
        </is>
      </c>
      <c r="E165" s="4" t="inlineStr">
        <is>
          <t>mayo</t>
        </is>
      </c>
      <c r="F165" s="4" t="n">
        <v>2026</v>
      </c>
      <c r="G165" s="5" t="inlineStr">
        <is>
          <t>COPIAPO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COPIAPO</t>
        </is>
      </c>
      <c r="K165" s="4" t="n">
        <v>1716</v>
      </c>
    </row>
    <row r="166">
      <c r="A166" s="2">
        <f>"119174"</f>
        <v/>
      </c>
      <c r="B166" s="2" t="inlineStr">
        <is>
          <t>HKOOB37011932</t>
        </is>
      </c>
      <c r="C166" s="2" t="inlineStr">
        <is>
          <t>11/05/2026</t>
        </is>
      </c>
      <c r="D166" s="2" t="inlineStr">
        <is>
          <t>11:01:29</t>
        </is>
      </c>
      <c r="E166" s="2" t="inlineStr">
        <is>
          <t>mayo</t>
        </is>
      </c>
      <c r="F166" s="2" t="n">
        <v>2026</v>
      </c>
      <c r="G166" s="3" t="inlineStr">
        <is>
          <t>TEMUCO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TEMUCO</t>
        </is>
      </c>
      <c r="K166" s="2" t="n">
        <v>1553</v>
      </c>
    </row>
    <row r="167">
      <c r="A167" s="4">
        <f>"119175"</f>
        <v/>
      </c>
      <c r="B167" s="4" t="inlineStr">
        <is>
          <t>HKOOB37011941</t>
        </is>
      </c>
      <c r="C167" s="4" t="inlineStr">
        <is>
          <t>11/05/2026</t>
        </is>
      </c>
      <c r="D167" s="4" t="inlineStr">
        <is>
          <t>11:20:39</t>
        </is>
      </c>
      <c r="E167" s="4" t="inlineStr">
        <is>
          <t>mayo</t>
        </is>
      </c>
      <c r="F167" s="4" t="n">
        <v>2026</v>
      </c>
      <c r="G167" s="5" t="inlineStr">
        <is>
          <t>ARICA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ARICA</t>
        </is>
      </c>
      <c r="K167" s="4" t="n">
        <v>0</v>
      </c>
    </row>
    <row r="168">
      <c r="A168" s="2">
        <f>"119177"</f>
        <v/>
      </c>
      <c r="B168" s="2" t="inlineStr">
        <is>
          <t>HKOOB37011927</t>
        </is>
      </c>
      <c r="C168" s="2" t="inlineStr">
        <is>
          <t>11/05/2026</t>
        </is>
      </c>
      <c r="D168" s="2" t="inlineStr">
        <is>
          <t>12:18:52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CONCEPCION</t>
        </is>
      </c>
      <c r="K168" s="2" t="n">
        <v>1675</v>
      </c>
    </row>
    <row r="169">
      <c r="A169" s="4">
        <f>"119176"</f>
        <v/>
      </c>
      <c r="B169" s="4" t="inlineStr">
        <is>
          <t>HKOOB37011931</t>
        </is>
      </c>
      <c r="C169" s="4" t="inlineStr">
        <is>
          <t>11/05/2026</t>
        </is>
      </c>
      <c r="D169" s="4" t="inlineStr">
        <is>
          <t>12:57:39</t>
        </is>
      </c>
      <c r="E169" s="4" t="inlineStr">
        <is>
          <t>mayo</t>
        </is>
      </c>
      <c r="F169" s="4" t="n">
        <v>2026</v>
      </c>
      <c r="G169" s="5" t="inlineStr">
        <is>
          <t>PTO MONTT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PTO MONTT</t>
        </is>
      </c>
      <c r="K169" s="4" t="n">
        <v>1638</v>
      </c>
    </row>
    <row r="170">
      <c r="A170" s="2">
        <f>"119179"</f>
        <v/>
      </c>
      <c r="B170" s="2" t="inlineStr">
        <is>
          <t>HKOOB37011934</t>
        </is>
      </c>
      <c r="C170" s="2" t="inlineStr">
        <is>
          <t>11/05/2026</t>
        </is>
      </c>
      <c r="D170" s="2" t="inlineStr">
        <is>
          <t>13:34:08</t>
        </is>
      </c>
      <c r="E170" s="2" t="inlineStr">
        <is>
          <t>mayo</t>
        </is>
      </c>
      <c r="F170" s="2" t="n">
        <v>2026</v>
      </c>
      <c r="G170" s="3" t="inlineStr">
        <is>
          <t>SAN FERNANDO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SAN FERNANDO</t>
        </is>
      </c>
      <c r="K170" s="2" t="n">
        <v>1651</v>
      </c>
    </row>
    <row r="171">
      <c r="A171" s="4">
        <f>"119178"</f>
        <v/>
      </c>
      <c r="B171" s="4" t="inlineStr">
        <is>
          <t>HKOOB37011924</t>
        </is>
      </c>
      <c r="C171" s="4" t="inlineStr">
        <is>
          <t>11/05/2026</t>
        </is>
      </c>
      <c r="D171" s="4" t="inlineStr">
        <is>
          <t>14:01:16</t>
        </is>
      </c>
      <c r="E171" s="4" t="inlineStr">
        <is>
          <t>mayo</t>
        </is>
      </c>
      <c r="F171" s="4" t="n">
        <v>2026</v>
      </c>
      <c r="G171" s="5" t="inlineStr">
        <is>
          <t>LOS ANGELES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LOS ANGELES</t>
        </is>
      </c>
      <c r="K171" s="4" t="n">
        <v>1715</v>
      </c>
    </row>
    <row r="172">
      <c r="A172" s="2">
        <f>"37918"</f>
        <v/>
      </c>
      <c r="B172" s="2" t="inlineStr">
        <is>
          <t>HKOOB37033336</t>
        </is>
      </c>
      <c r="C172" s="2" t="inlineStr">
        <is>
          <t>11/05/2026</t>
        </is>
      </c>
      <c r="D172" s="2" t="inlineStr">
        <is>
          <t>15:22:53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1490</v>
      </c>
    </row>
    <row r="173">
      <c r="A173" s="4">
        <f>"37921"</f>
        <v/>
      </c>
      <c r="B173" s="4" t="inlineStr">
        <is>
          <t>HKOOB37033337</t>
        </is>
      </c>
      <c r="C173" s="4" t="inlineStr">
        <is>
          <t>11/05/2026</t>
        </is>
      </c>
      <c r="D173" s="4" t="inlineStr">
        <is>
          <t>16:25:25</t>
        </is>
      </c>
      <c r="E173" s="4" t="inlineStr">
        <is>
          <t>mayo</t>
        </is>
      </c>
      <c r="F173" s="4" t="n">
        <v>2026</v>
      </c>
      <c r="G173" s="5" t="inlineStr">
        <is>
          <t>LO ESPEJO</t>
        </is>
      </c>
      <c r="H173" s="5" t="inlineStr">
        <is>
          <t>SIN PROVEEDOR</t>
        </is>
      </c>
      <c r="I173" s="4" t="n">
        <v>1</v>
      </c>
      <c r="J173" s="5" t="inlineStr">
        <is>
          <t>LO ESPEJO</t>
        </is>
      </c>
      <c r="K173" s="4" t="n">
        <v>1436</v>
      </c>
    </row>
    <row r="174">
      <c r="A174" s="2">
        <f>"119180"</f>
        <v/>
      </c>
      <c r="B174" s="2" t="inlineStr">
        <is>
          <t>HKOOB37011938</t>
        </is>
      </c>
      <c r="C174" s="2" t="inlineStr">
        <is>
          <t>11/05/2026</t>
        </is>
      </c>
      <c r="D174" s="2" t="inlineStr">
        <is>
          <t>16:32:55</t>
        </is>
      </c>
      <c r="E174" s="2" t="inlineStr">
        <is>
          <t>mayo</t>
        </is>
      </c>
      <c r="F174" s="2" t="n">
        <v>2026</v>
      </c>
      <c r="G174" s="3" t="inlineStr">
        <is>
          <t>COPIAPO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COPIAPO</t>
        </is>
      </c>
      <c r="K174" s="2" t="n">
        <v>1806</v>
      </c>
    </row>
    <row r="175">
      <c r="A175" s="4">
        <f>"37928"</f>
        <v/>
      </c>
      <c r="B175" s="4" t="inlineStr">
        <is>
          <t>HKOOB37033338</t>
        </is>
      </c>
      <c r="C175" s="4" t="inlineStr">
        <is>
          <t>11/05/2026</t>
        </is>
      </c>
      <c r="D175" s="4" t="inlineStr">
        <is>
          <t>17:39:01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inlineStr">
        <is>
          <t>SIN PROVEEDOR</t>
        </is>
      </c>
      <c r="I175" s="4" t="n">
        <v>1</v>
      </c>
      <c r="J175" s="5" t="inlineStr">
        <is>
          <t>LO ESPEJO</t>
        </is>
      </c>
      <c r="K175" s="4" t="n">
        <v>1308</v>
      </c>
    </row>
    <row r="176">
      <c r="A176" s="2">
        <f>"119181"</f>
        <v/>
      </c>
      <c r="B176" s="2" t="inlineStr">
        <is>
          <t>HKOOB37033360</t>
        </is>
      </c>
      <c r="C176" s="2" t="inlineStr">
        <is>
          <t>11/05/2026</t>
        </is>
      </c>
      <c r="D176" s="2" t="inlineStr">
        <is>
          <t>17:54:00</t>
        </is>
      </c>
      <c r="E176" s="2" t="inlineStr">
        <is>
          <t>mayo</t>
        </is>
      </c>
      <c r="F176" s="2" t="n">
        <v>2026</v>
      </c>
      <c r="G176" s="3" t="inlineStr">
        <is>
          <t>VINA DEL MAR</t>
        </is>
      </c>
      <c r="H176" s="3" t="inlineStr">
        <is>
          <t>16575553-7/GABRIEL ALEJANDRO ESTAY CARRAZANA</t>
        </is>
      </c>
      <c r="I176" s="2" t="n">
        <v>1</v>
      </c>
      <c r="J176" s="3" t="inlineStr">
        <is>
          <t>VINA DEL MAR</t>
        </is>
      </c>
      <c r="K176" s="2" t="n">
        <v>1637</v>
      </c>
    </row>
    <row r="177">
      <c r="A177" s="4">
        <f>"37931"</f>
        <v/>
      </c>
      <c r="B177" s="4" t="inlineStr">
        <is>
          <t>HKOOB37033362</t>
        </is>
      </c>
      <c r="C177" s="4" t="inlineStr">
        <is>
          <t>11/05/2026</t>
        </is>
      </c>
      <c r="D177" s="4" t="inlineStr">
        <is>
          <t>18:30:12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958</v>
      </c>
    </row>
    <row r="178">
      <c r="A178" s="2">
        <f>"119182"</f>
        <v/>
      </c>
      <c r="B178" s="2" t="inlineStr">
        <is>
          <t>HKOOB37004413</t>
        </is>
      </c>
      <c r="C178" s="2" t="inlineStr">
        <is>
          <t>11/05/2026</t>
        </is>
      </c>
      <c r="D178" s="2" t="inlineStr">
        <is>
          <t>20:00:24</t>
        </is>
      </c>
      <c r="E178" s="2" t="inlineStr">
        <is>
          <t>mayo</t>
        </is>
      </c>
      <c r="F178" s="2" t="n">
        <v>2026</v>
      </c>
      <c r="G178" s="3" t="inlineStr">
        <is>
          <t>ANTOFAGASTA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ANTOFAGASTA</t>
        </is>
      </c>
      <c r="K178" s="2" t="n">
        <v>1770</v>
      </c>
    </row>
    <row r="179">
      <c r="A179" s="4">
        <f>"37943"</f>
        <v/>
      </c>
      <c r="B179" s="4" t="inlineStr">
        <is>
          <t>HKOOB37033339</t>
        </is>
      </c>
      <c r="C179" s="4" t="inlineStr">
        <is>
          <t>11/05/2026</t>
        </is>
      </c>
      <c r="D179" s="4" t="inlineStr">
        <is>
          <t>20:30:25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1300</v>
      </c>
    </row>
    <row r="180">
      <c r="A180" s="2">
        <f>"119184"</f>
        <v/>
      </c>
      <c r="B180" s="2" t="inlineStr">
        <is>
          <t>HKOOB37011933</t>
        </is>
      </c>
      <c r="C180" s="2" t="inlineStr">
        <is>
          <t>11/05/2026</t>
        </is>
      </c>
      <c r="D180" s="2" t="inlineStr">
        <is>
          <t>20:53:48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TEMUCO</t>
        </is>
      </c>
      <c r="K180" s="2" t="n">
        <v>1867</v>
      </c>
    </row>
    <row r="181">
      <c r="A181" s="4">
        <f>"119185"</f>
        <v/>
      </c>
      <c r="B181" s="4" t="inlineStr">
        <is>
          <t>HKOOB37011928</t>
        </is>
      </c>
      <c r="C181" s="4" t="inlineStr">
        <is>
          <t>11/05/2026</t>
        </is>
      </c>
      <c r="D181" s="4" t="inlineStr">
        <is>
          <t>21:45:27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CONCEPCION</t>
        </is>
      </c>
      <c r="K181" s="4" t="n">
        <v>2153</v>
      </c>
    </row>
    <row r="182">
      <c r="A182" s="2">
        <f>"119183"</f>
        <v/>
      </c>
      <c r="B182" s="2" t="inlineStr">
        <is>
          <t>HKOOB37011922</t>
        </is>
      </c>
      <c r="C182" s="2" t="inlineStr">
        <is>
          <t>11/05/2026</t>
        </is>
      </c>
      <c r="D182" s="2" t="inlineStr">
        <is>
          <t>22:33:30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1706</v>
      </c>
    </row>
    <row r="183">
      <c r="A183" s="4">
        <f>"37954"</f>
        <v/>
      </c>
      <c r="B183" s="4" t="inlineStr">
        <is>
          <t>HKOOB37033340</t>
        </is>
      </c>
      <c r="C183" s="4" t="inlineStr">
        <is>
          <t>11/05/2026</t>
        </is>
      </c>
      <c r="D183" s="4" t="inlineStr">
        <is>
          <t>23:28:38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1472</v>
      </c>
    </row>
    <row r="184">
      <c r="A184" s="2">
        <f>"119186"</f>
        <v/>
      </c>
      <c r="B184" s="2" t="inlineStr">
        <is>
          <t>HKOOB37011943</t>
        </is>
      </c>
      <c r="C184" s="2" t="inlineStr">
        <is>
          <t>12/05/2026</t>
        </is>
      </c>
      <c r="D184" s="2" t="inlineStr">
        <is>
          <t>00:34:48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1633</v>
      </c>
    </row>
    <row r="185">
      <c r="A185" s="4">
        <f>"119187"</f>
        <v/>
      </c>
      <c r="B185" s="4" t="inlineStr">
        <is>
          <t>HKOOB37011923</t>
        </is>
      </c>
      <c r="C185" s="4" t="inlineStr">
        <is>
          <t>12/05/2026</t>
        </is>
      </c>
      <c r="D185" s="4" t="inlineStr">
        <is>
          <t>01:01:55</t>
        </is>
      </c>
      <c r="E185" s="4" t="inlineStr">
        <is>
          <t>mayo</t>
        </is>
      </c>
      <c r="F185" s="4" t="n">
        <v>2026</v>
      </c>
      <c r="G185" s="5" t="inlineStr">
        <is>
          <t>LA SERENA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LA SERENA</t>
        </is>
      </c>
      <c r="K185" s="4" t="n">
        <v>1731</v>
      </c>
    </row>
    <row r="186">
      <c r="A186" s="2">
        <f>"37969"</f>
        <v/>
      </c>
      <c r="B186" s="2" t="inlineStr">
        <is>
          <t>HKOOB37033341</t>
        </is>
      </c>
      <c r="C186" s="2" t="inlineStr">
        <is>
          <t>12/05/2026</t>
        </is>
      </c>
      <c r="D186" s="2" t="inlineStr">
        <is>
          <t>01:40:57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1463</v>
      </c>
    </row>
    <row r="187">
      <c r="A187" s="4">
        <f>"119188"</f>
        <v/>
      </c>
      <c r="B187" s="4" t="inlineStr">
        <is>
          <t>HKOOB37037074</t>
        </is>
      </c>
      <c r="C187" s="4" t="inlineStr">
        <is>
          <t>12/05/2026</t>
        </is>
      </c>
      <c r="D187" s="4" t="inlineStr">
        <is>
          <t>03:15:34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SIN PROVEEDOR</t>
        </is>
      </c>
      <c r="I187" s="4" t="n">
        <v>1</v>
      </c>
      <c r="J187" s="5" t="inlineStr">
        <is>
          <t>VINA DEL MAR</t>
        </is>
      </c>
      <c r="K187" s="4" t="n">
        <v>1690</v>
      </c>
    </row>
    <row r="188">
      <c r="A188" s="2">
        <f>"119189"</f>
        <v/>
      </c>
      <c r="B188" s="2" t="inlineStr">
        <is>
          <t>HKOOB37035187</t>
        </is>
      </c>
      <c r="C188" s="2" t="inlineStr">
        <is>
          <t>12/05/2026</t>
        </is>
      </c>
      <c r="D188" s="2" t="inlineStr">
        <is>
          <t>03:40:44</t>
        </is>
      </c>
      <c r="E188" s="2" t="inlineStr">
        <is>
          <t>mayo</t>
        </is>
      </c>
      <c r="F188" s="2" t="n">
        <v>2026</v>
      </c>
      <c r="G188" s="3" t="inlineStr">
        <is>
          <t>MELIPILLA</t>
        </is>
      </c>
      <c r="H188" s="3" t="inlineStr">
        <is>
          <t>77970090-9/TRANSPORTES DONA ISIDORA (LABBE)</t>
        </is>
      </c>
      <c r="I188" s="2" t="n">
        <v>1</v>
      </c>
      <c r="J188" s="3" t="inlineStr">
        <is>
          <t>MELIPILLA</t>
        </is>
      </c>
      <c r="K188" s="2" t="n">
        <v>1778</v>
      </c>
    </row>
    <row r="189">
      <c r="A189" s="4">
        <f>"37980"</f>
        <v/>
      </c>
      <c r="B189" s="4" t="inlineStr">
        <is>
          <t>HKOOB37033342</t>
        </is>
      </c>
      <c r="C189" s="4" t="inlineStr">
        <is>
          <t>12/05/2026</t>
        </is>
      </c>
      <c r="D189" s="4" t="inlineStr">
        <is>
          <t>04:26:15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SIN PROVEEDOR</t>
        </is>
      </c>
      <c r="I189" s="4" t="n">
        <v>1</v>
      </c>
      <c r="J189" s="5" t="inlineStr">
        <is>
          <t>LO ESPEJO</t>
        </is>
      </c>
      <c r="K189" s="4" t="n">
        <v>1183</v>
      </c>
    </row>
    <row r="190">
      <c r="A190" s="2">
        <f>"119190"</f>
        <v/>
      </c>
      <c r="B190" s="2" t="inlineStr">
        <is>
          <t>HKOOB37035191</t>
        </is>
      </c>
      <c r="C190" s="2" t="inlineStr">
        <is>
          <t>12/05/2026</t>
        </is>
      </c>
      <c r="D190" s="2" t="inlineStr">
        <is>
          <t>04:28:10</t>
        </is>
      </c>
      <c r="E190" s="2" t="inlineStr">
        <is>
          <t>mayo</t>
        </is>
      </c>
      <c r="F190" s="2" t="n">
        <v>2026</v>
      </c>
      <c r="G190" s="3" t="inlineStr">
        <is>
          <t>LOS ANDES</t>
        </is>
      </c>
      <c r="H190" s="3" t="inlineStr">
        <is>
          <t>77970090-9/TRANSPORTES DONA ISIDORA (LABBE)</t>
        </is>
      </c>
      <c r="I190" s="2" t="n">
        <v>1</v>
      </c>
      <c r="J190" s="3" t="inlineStr">
        <is>
          <t>LOS ANDES</t>
        </is>
      </c>
      <c r="K190" s="2" t="n">
        <v>891</v>
      </c>
    </row>
    <row r="191">
      <c r="A191" s="4">
        <f>"119191"</f>
        <v/>
      </c>
      <c r="B191" s="4" t="inlineStr">
        <is>
          <t>HKOOB37035197</t>
        </is>
      </c>
      <c r="C191" s="4" t="inlineStr">
        <is>
          <t>12/05/2026</t>
        </is>
      </c>
      <c r="D191" s="4" t="inlineStr">
        <is>
          <t>05:02:21</t>
        </is>
      </c>
      <c r="E191" s="4" t="inlineStr">
        <is>
          <t>mayo</t>
        </is>
      </c>
      <c r="F191" s="4" t="n">
        <v>2026</v>
      </c>
      <c r="G191" s="5" t="inlineStr">
        <is>
          <t>RANCAGUA</t>
        </is>
      </c>
      <c r="H191" s="5" t="inlineStr">
        <is>
          <t>76252773-1/GARATE Y GARATE LIMITADA</t>
        </is>
      </c>
      <c r="I191" s="4" t="n">
        <v>1</v>
      </c>
      <c r="J191" s="5" t="inlineStr">
        <is>
          <t>RANCAGUA</t>
        </is>
      </c>
      <c r="K191" s="4" t="n">
        <v>1712</v>
      </c>
    </row>
    <row r="192">
      <c r="A192" s="2">
        <f>"37994"</f>
        <v/>
      </c>
      <c r="B192" s="2" t="inlineStr">
        <is>
          <t>HKOOB37033363</t>
        </is>
      </c>
      <c r="C192" s="2" t="inlineStr">
        <is>
          <t>12/05/2026</t>
        </is>
      </c>
      <c r="D192" s="2" t="inlineStr">
        <is>
          <t>06:12:27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inlineStr">
        <is>
          <t>SIN PROVEEDOR</t>
        </is>
      </c>
      <c r="I192" s="2" t="n">
        <v>1</v>
      </c>
      <c r="J192" s="3" t="inlineStr">
        <is>
          <t>EL PINAR</t>
        </is>
      </c>
      <c r="K192" s="2" t="n">
        <v>1050</v>
      </c>
    </row>
    <row r="193">
      <c r="A193" s="4">
        <f>"119192"</f>
        <v/>
      </c>
      <c r="B193" s="4" t="inlineStr">
        <is>
          <t>HKOOB37037368</t>
        </is>
      </c>
      <c r="C193" s="4" t="inlineStr">
        <is>
          <t>12/05/2026</t>
        </is>
      </c>
      <c r="D193" s="4" t="inlineStr">
        <is>
          <t>08:23:11</t>
        </is>
      </c>
      <c r="E193" s="4" t="inlineStr">
        <is>
          <t>mayo</t>
        </is>
      </c>
      <c r="F193" s="4" t="n">
        <v>2026</v>
      </c>
      <c r="G193" s="5" t="inlineStr">
        <is>
          <t>ANTOFAGASTA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ANTOFAGASTA</t>
        </is>
      </c>
      <c r="K193" s="4" t="n">
        <v>1808</v>
      </c>
    </row>
    <row r="194">
      <c r="A194" s="2">
        <f>"119193"</f>
        <v/>
      </c>
      <c r="B194" s="2" t="inlineStr">
        <is>
          <t>HKOOB37037075</t>
        </is>
      </c>
      <c r="C194" s="2" t="inlineStr">
        <is>
          <t>12/05/2026</t>
        </is>
      </c>
      <c r="D194" s="2" t="inlineStr">
        <is>
          <t>09:50:02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1472</v>
      </c>
    </row>
    <row r="195">
      <c r="A195" s="4">
        <f>"119194"</f>
        <v/>
      </c>
      <c r="B195" s="4" t="inlineStr">
        <is>
          <t>HKOOB37035196</t>
        </is>
      </c>
      <c r="C195" s="4" t="inlineStr">
        <is>
          <t>12/05/2026</t>
        </is>
      </c>
      <c r="D195" s="4" t="inlineStr">
        <is>
          <t>11:04:13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1638</v>
      </c>
    </row>
    <row r="196">
      <c r="A196" s="2">
        <f>"38049"</f>
        <v/>
      </c>
      <c r="B196" s="2" t="inlineStr">
        <is>
          <t>CHKO373646</t>
        </is>
      </c>
      <c r="C196" s="2" t="inlineStr">
        <is>
          <t>12/05/2026</t>
        </is>
      </c>
      <c r="D196" s="2" t="inlineStr">
        <is>
          <t>12:22:58</t>
        </is>
      </c>
      <c r="E196" s="2" t="inlineStr">
        <is>
          <t>mayo</t>
        </is>
      </c>
      <c r="F196" s="2" t="n">
        <v>2026</v>
      </c>
      <c r="G196" s="3" t="inlineStr">
        <is>
          <t>LA SERENA</t>
        </is>
      </c>
      <c r="H196" s="3" t="inlineStr">
        <is>
          <t>77970090-9/TRANSPORTES DONA ISIDORA (LABBE)</t>
        </is>
      </c>
      <c r="I196" s="2" t="n">
        <v>1</v>
      </c>
      <c r="J196" s="3" t="inlineStr">
        <is>
          <t>LA SERENA</t>
        </is>
      </c>
      <c r="K196" s="2" t="n">
        <v>443</v>
      </c>
    </row>
    <row r="197">
      <c r="A197" s="4">
        <f>"119199"</f>
        <v/>
      </c>
      <c r="B197" s="4" t="inlineStr">
        <is>
          <t>HKOOB37035184</t>
        </is>
      </c>
      <c r="C197" s="4" t="inlineStr">
        <is>
          <t>12/05/2026</t>
        </is>
      </c>
      <c r="D197" s="4" t="inlineStr">
        <is>
          <t>12:24:04</t>
        </is>
      </c>
      <c r="E197" s="4" t="inlineStr">
        <is>
          <t>mayo</t>
        </is>
      </c>
      <c r="F197" s="4" t="n">
        <v>2026</v>
      </c>
      <c r="G197" s="5" t="inlineStr">
        <is>
          <t>LOS ANGELES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LOS ANGELES</t>
        </is>
      </c>
      <c r="K197" s="4" t="n">
        <v>1712</v>
      </c>
    </row>
    <row r="198">
      <c r="A198" s="2">
        <f>"38047"</f>
        <v/>
      </c>
      <c r="B198" s="2" t="inlineStr">
        <is>
          <t>CHKO373724</t>
        </is>
      </c>
      <c r="C198" s="2" t="inlineStr">
        <is>
          <t>12/05/2026</t>
        </is>
      </c>
      <c r="D198" s="2" t="inlineStr">
        <is>
          <t>12:25:07</t>
        </is>
      </c>
      <c r="E198" s="2" t="inlineStr">
        <is>
          <t>mayo</t>
        </is>
      </c>
      <c r="F198" s="2" t="n">
        <v>2026</v>
      </c>
      <c r="G198" s="3" t="inlineStr">
        <is>
          <t>RUTA SOLITARIA 1059 LV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RUTA SOLITARIA 1059 LV</t>
        </is>
      </c>
      <c r="K198" s="2" t="n">
        <v>631</v>
      </c>
    </row>
    <row r="199">
      <c r="A199" s="4">
        <f>"38046"</f>
        <v/>
      </c>
      <c r="B199" s="4" t="inlineStr">
        <is>
          <t>CHKO373668</t>
        </is>
      </c>
      <c r="C199" s="4" t="inlineStr">
        <is>
          <t>12/05/2026</t>
        </is>
      </c>
      <c r="D199" s="4" t="inlineStr">
        <is>
          <t>12:29:54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LA SERENA</t>
        </is>
      </c>
      <c r="K199" s="4" t="n">
        <v>360</v>
      </c>
    </row>
    <row r="200">
      <c r="A200" s="2">
        <f>"38043"</f>
        <v/>
      </c>
      <c r="B200" s="2" t="inlineStr">
        <is>
          <t>HKOOB37036933</t>
        </is>
      </c>
      <c r="C200" s="2" t="inlineStr">
        <is>
          <t>12/05/2026</t>
        </is>
      </c>
      <c r="D200" s="2" t="inlineStr">
        <is>
          <t>12:32:05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0</v>
      </c>
    </row>
    <row r="201">
      <c r="A201" s="4">
        <f>"38050"</f>
        <v/>
      </c>
      <c r="B201" s="4" t="inlineStr">
        <is>
          <t>HKOOB37035188</t>
        </is>
      </c>
      <c r="C201" s="4" t="inlineStr">
        <is>
          <t>12/05/2026</t>
        </is>
      </c>
      <c r="D201" s="4" t="inlineStr">
        <is>
          <t>13:21:37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1556</v>
      </c>
    </row>
    <row r="202">
      <c r="A202" s="2">
        <f>"38054"</f>
        <v/>
      </c>
      <c r="B202" s="2" t="inlineStr">
        <is>
          <t>HKOOB37037369</t>
        </is>
      </c>
      <c r="C202" s="2" t="inlineStr">
        <is>
          <t>12/05/2026</t>
        </is>
      </c>
      <c r="D202" s="2" t="inlineStr">
        <is>
          <t>14:08:55</t>
        </is>
      </c>
      <c r="E202" s="2" t="inlineStr">
        <is>
          <t>mayo</t>
        </is>
      </c>
      <c r="F202" s="2" t="n">
        <v>2026</v>
      </c>
      <c r="G202" s="3" t="inlineStr">
        <is>
          <t>ANTOFAGASTA</t>
        </is>
      </c>
      <c r="H202" s="3" t="inlineStr">
        <is>
          <t>76746317-0/TRAILER LOGISTICS SPA</t>
        </is>
      </c>
      <c r="I202" s="2" t="n">
        <v>1</v>
      </c>
      <c r="J202" s="3" t="inlineStr">
        <is>
          <t>ANTOFAGASTA</t>
        </is>
      </c>
      <c r="K202" s="2" t="n">
        <v>2016</v>
      </c>
    </row>
    <row r="203">
      <c r="A203" s="4">
        <f>"38058"</f>
        <v/>
      </c>
      <c r="B203" s="4" t="inlineStr">
        <is>
          <t>HKOOB37036934</t>
        </is>
      </c>
      <c r="C203" s="4" t="inlineStr">
        <is>
          <t>12/05/2026</t>
        </is>
      </c>
      <c r="D203" s="4" t="inlineStr">
        <is>
          <t>15:39:40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1422</v>
      </c>
    </row>
    <row r="204">
      <c r="A204" s="2">
        <f>"38061"</f>
        <v/>
      </c>
      <c r="B204" s="2" t="inlineStr">
        <is>
          <t>HKOOB37036928</t>
        </is>
      </c>
      <c r="C204" s="2" t="inlineStr">
        <is>
          <t>12/05/2026</t>
        </is>
      </c>
      <c r="D204" s="2" t="inlineStr">
        <is>
          <t>15:52:05</t>
        </is>
      </c>
      <c r="E204" s="2" t="inlineStr">
        <is>
          <t>mayo</t>
        </is>
      </c>
      <c r="F204" s="2" t="n">
        <v>2026</v>
      </c>
      <c r="G204" s="3" t="inlineStr">
        <is>
          <t>EL PINAR</t>
        </is>
      </c>
      <c r="H204" s="3" t="inlineStr">
        <is>
          <t>SIN PROVEEDOR</t>
        </is>
      </c>
      <c r="I204" s="2" t="n">
        <v>1</v>
      </c>
      <c r="J204" s="3" t="inlineStr">
        <is>
          <t>EL PINAR</t>
        </is>
      </c>
      <c r="K204" s="2" t="n">
        <v>1082</v>
      </c>
    </row>
    <row r="205">
      <c r="A205" s="4">
        <f>"119200"</f>
        <v/>
      </c>
      <c r="B205" s="4" t="inlineStr">
        <is>
          <t>HKOOB37035185</t>
        </is>
      </c>
      <c r="C205" s="4" t="inlineStr">
        <is>
          <t>12/05/2026</t>
        </is>
      </c>
      <c r="D205" s="4" t="inlineStr">
        <is>
          <t>16:30:26</t>
        </is>
      </c>
      <c r="E205" s="4" t="inlineStr">
        <is>
          <t>mayo</t>
        </is>
      </c>
      <c r="F205" s="4" t="n">
        <v>2026</v>
      </c>
      <c r="G205" s="5" t="inlineStr">
        <is>
          <t>TALCA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TALCA</t>
        </is>
      </c>
      <c r="K205" s="4" t="n">
        <v>1647</v>
      </c>
    </row>
    <row r="206">
      <c r="A206" s="2">
        <f>"38065"</f>
        <v/>
      </c>
      <c r="B206" s="2" t="inlineStr">
        <is>
          <t>HKOOB37036932</t>
        </is>
      </c>
      <c r="C206" s="2" t="inlineStr">
        <is>
          <t>12/05/2026</t>
        </is>
      </c>
      <c r="D206" s="2" t="inlineStr">
        <is>
          <t>17:26:38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SIN PROVEEDOR</t>
        </is>
      </c>
      <c r="I206" s="2" t="n">
        <v>1</v>
      </c>
      <c r="J206" s="3" t="inlineStr">
        <is>
          <t>LO ESPEJO</t>
        </is>
      </c>
      <c r="K206" s="2" t="n">
        <v>1380</v>
      </c>
    </row>
    <row r="207">
      <c r="A207" s="4">
        <f>"119063"</f>
        <v/>
      </c>
      <c r="B207" s="4" t="inlineStr">
        <is>
          <t>CHKO372624 / CHKO372646</t>
        </is>
      </c>
      <c r="C207" s="4" t="inlineStr">
        <is>
          <t>05/05/2026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CONCEPCION / LOS ANGELES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CONCEPCION / LOS ANGELES</t>
        </is>
      </c>
      <c r="K207" s="4" t="n">
        <v>1625</v>
      </c>
    </row>
    <row r="208">
      <c r="A208" s="2">
        <f>"119069"</f>
        <v/>
      </c>
      <c r="B208" s="2" t="inlineStr">
        <is>
          <t>CHKO372804 / CHKO372827</t>
        </is>
      </c>
      <c r="C208" s="2" t="inlineStr">
        <is>
          <t>05/05/2026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LA SERENA / RUTA SOLITARIA 1059 LV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LA SERENA / RUTA SOLITARIA 1059 LV</t>
        </is>
      </c>
      <c r="K208" s="2" t="n">
        <v>1543</v>
      </c>
    </row>
    <row r="209">
      <c r="A209" s="4">
        <f>"119087"</f>
        <v/>
      </c>
      <c r="B209" s="4" t="inlineStr">
        <is>
          <t>CHKO372924 / HKOOB36982949</t>
        </is>
      </c>
      <c r="C209" s="4" t="inlineStr">
        <is>
          <t>06/05/2026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PTO MONTT / RUTA SOLITARIA ELPAC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PTO MONTT / RUTA SOLITARIA ELPAC</t>
        </is>
      </c>
      <c r="K209" s="4" t="n">
        <v>1868</v>
      </c>
    </row>
    <row r="210">
      <c r="A210" s="2">
        <f>"119112"</f>
        <v/>
      </c>
      <c r="B210" s="2" t="inlineStr">
        <is>
          <t>HKOOB36994400 / HKOOB36994408</t>
        </is>
      </c>
      <c r="C210" s="2" t="inlineStr">
        <is>
          <t>07/05/2026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PTO MONTT / VALDIVIA</t>
        </is>
      </c>
      <c r="H210" s="3" t="inlineStr">
        <is>
          <t>77970090-9/TRANSPORTES DONA ISIDORA (LABBE)</t>
        </is>
      </c>
      <c r="I210" s="2" t="n">
        <v>1</v>
      </c>
      <c r="J210" s="3" t="inlineStr">
        <is>
          <t>PTO MONTT / VALDIVIA</t>
        </is>
      </c>
      <c r="K210" s="2" t="n">
        <v>1247</v>
      </c>
    </row>
    <row r="211">
      <c r="A211" s="4">
        <f>"119113"</f>
        <v/>
      </c>
      <c r="B211" s="4" t="inlineStr">
        <is>
          <t>CHKO373144 / HKOOB36991739</t>
        </is>
      </c>
      <c r="C211" s="4" t="inlineStr">
        <is>
          <t>07/05/2026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CHILLAN / 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CHILLAN / TALCA</t>
        </is>
      </c>
      <c r="K211" s="4" t="n">
        <v>1626</v>
      </c>
    </row>
    <row r="212">
      <c r="A212" s="2">
        <f>"119118"</f>
        <v/>
      </c>
      <c r="B212" s="2" t="inlineStr">
        <is>
          <t>CHKO373029 / CHKO373166 / HKOOB36991777</t>
        </is>
      </c>
      <c r="C212" s="2" t="inlineStr">
        <is>
          <t>07/05/2026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LA SERENA / RUTA SOLITARIA 1059 LV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LA SERENA / RUTA SOLITARIA 1059 LV</t>
        </is>
      </c>
      <c r="K212" s="2" t="n">
        <v>1570</v>
      </c>
    </row>
    <row r="213">
      <c r="A213" s="4">
        <f>"119133"</f>
        <v/>
      </c>
      <c r="B213" s="4" t="inlineStr">
        <is>
          <t>CHKO373305 / HKOOB36974928</t>
        </is>
      </c>
      <c r="C213" s="4" t="inlineStr">
        <is>
          <t>08/05/2026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LOS ANGELES / TEMUCO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LOS ANGELES / TEMUCO</t>
        </is>
      </c>
      <c r="K213" s="4" t="n">
        <v>1569</v>
      </c>
    </row>
    <row r="214">
      <c r="A214" s="2">
        <f>"119142"</f>
        <v/>
      </c>
      <c r="B214" s="2" t="inlineStr">
        <is>
          <t>CHKO373309 / CHKO373325 / HKOOB36985272</t>
        </is>
      </c>
      <c r="C214" s="2" t="inlineStr">
        <is>
          <t>08/05/2026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ANTOFAGASTA / ARICA</t>
        </is>
      </c>
      <c r="H214" s="3" t="inlineStr">
        <is>
          <t>77970090-9/TRANSPORTES DONA ISIDORA (LABBE)</t>
        </is>
      </c>
      <c r="I214" s="2" t="n">
        <v>1</v>
      </c>
      <c r="J214" s="3" t="inlineStr">
        <is>
          <t>ANTOFAGASTA / ARICA</t>
        </is>
      </c>
      <c r="K214" s="2" t="n">
        <v>1716</v>
      </c>
    </row>
    <row r="215">
      <c r="A215" s="4">
        <f>"119173"</f>
        <v/>
      </c>
      <c r="B215" s="4" t="inlineStr">
        <is>
          <t>CHKO373624 / HKOOB37011942</t>
        </is>
      </c>
      <c r="C215" s="4" t="inlineStr">
        <is>
          <t>11/05/2026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PTO MONTT / VALDIVIA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PTO MONTT / VALDIVIA</t>
        </is>
      </c>
      <c r="K215" s="4" t="n">
        <v>1664</v>
      </c>
    </row>
    <row r="216">
      <c r="A216" s="2">
        <f>"119195"</f>
        <v/>
      </c>
      <c r="B216" s="2" t="inlineStr">
        <is>
          <t>CHKO373384 / HKOOB37037365</t>
        </is>
      </c>
      <c r="C216" s="2" t="inlineStr">
        <is>
          <t>12/05/2026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ANTOFAGASTA / IQUIQUE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ANTOFAGASTA / IQUIQUE</t>
        </is>
      </c>
      <c r="K216" s="2" t="n">
        <v>1786</v>
      </c>
    </row>
    <row r="217">
      <c r="A217" s="4" t="inlineStr">
        <is>
          <t>LAS</t>
        </is>
      </c>
      <c r="B217" s="4" t="inlineStr">
        <is>
          <t>HKOOB36985602 / HKOOB36985610 / HKOOB36991771 / HKOOB36991772 / HKOOB36997597 / HKOOB36997604 / HKOOB37004439 / HKOOB37004444</t>
        </is>
      </c>
      <c r="C217" s="4" t="inlineStr">
        <is>
          <t>10/05/2026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LO ESPEJO / VINA DEL MAR</t>
        </is>
      </c>
      <c r="H217" s="5" t="inlineStr">
        <is>
          <t>SIN PROVEEDOR</t>
        </is>
      </c>
      <c r="I217" s="4" t="n">
        <v>1</v>
      </c>
      <c r="J217" s="5" t="inlineStr">
        <is>
          <t>LO ESPEJO / VINA DEL MAR</t>
        </is>
      </c>
      <c r="K217" s="4" t="n">
        <v>11209</v>
      </c>
    </row>
  </sheetData>
  <autoFilter ref="A1:K2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2026-05-12T21:56:59Z</dcterms:created>
  <dcterms:modified xmlns:dcterms="http://purl.org/dc/terms/" xmlns:xsi="http://www.w3.org/2001/XMLSchema-instance" xsi:type="dcterms:W3CDTF">2026-05-12T21:56:59Z</dcterms:modified>
</cp:coreProperties>
</file>