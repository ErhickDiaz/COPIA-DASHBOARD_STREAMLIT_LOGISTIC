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82623500-4/IDEAL S.A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82623500-4/IDEAL S.A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82623500-4/IDEAL S.A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82623500-4/IDEAL S.A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82623500-4/IDEAL S.A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82623500-4/IDEAL S.A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82623500-4/IDEAL S.A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82623500-4/IDEAL S.A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82623500-4/IDEAL S.A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82623500-4/IDEAL S.A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82623500-4/IDEAL S.A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82623500-4/IDEAL S.A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82623500-4/IDEAL S.A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82623500-4/IDEAL S.A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82623500-4/IDEAL S.A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82623500-4/IDEAL S.A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82623500-4/IDEAL S.A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82623500-4/IDEAL S.A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82623500-4/IDEAL S.A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82623500-4/IDEAL S.A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82623500-4/IDEAL S.A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82623500-4/IDEAL S.A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82623500-4/IDEAL S.A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82623500-4/IDEAL S.A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82623500-4/IDEAL S.A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82623500-4/IDEAL S.A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82623500-4/IDEAL S.A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82623500-4/IDEAL S.A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82623500-4/IDEAL S.A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82623500-4/IDEAL S.A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82623500-4/IDEAL S.A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82623500-4/IDEAL S.A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82623500-4/IDEAL S.A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82623500-4/IDEAL S.A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82623500-4/IDEAL S.A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82623500-4/IDEAL S.A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82623500-4/IDEAL S.A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82623500-4/IDEAL S.A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82623500-4/IDEAL S.A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82623500-4/IDEAL S.A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82623500-4/IDEAL S.A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82623500-4/IDEAL S.A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inlineStr">
        <is>
          <t>82623500-4/IDEAL S.A</t>
        </is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"119357"</f>
        <v/>
      </c>
      <c r="B230" s="2" t="inlineStr">
        <is>
          <t>HKOOB37081598</t>
        </is>
      </c>
      <c r="C230" s="2" t="inlineStr">
        <is>
          <t>20/05/2026</t>
        </is>
      </c>
      <c r="D230" s="2" t="inlineStr">
        <is>
          <t>17:29:30</t>
        </is>
      </c>
      <c r="E230" s="2" t="inlineStr">
        <is>
          <t>mayo</t>
        </is>
      </c>
      <c r="F230" s="2" t="n">
        <v>2026</v>
      </c>
      <c r="G230" s="3" t="inlineStr">
        <is>
          <t>CHILLAN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</t>
        </is>
      </c>
      <c r="K230" s="2" t="n">
        <v>1687</v>
      </c>
    </row>
    <row r="231">
      <c r="A231" s="4">
        <f>"39058"</f>
        <v/>
      </c>
      <c r="B231" s="4" t="inlineStr">
        <is>
          <t>HKOOB37075693</t>
        </is>
      </c>
      <c r="C231" s="4" t="inlineStr">
        <is>
          <t>20/05/2026</t>
        </is>
      </c>
      <c r="D231" s="4" t="inlineStr">
        <is>
          <t>18:09:55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82623500-4/IDEAL S.A</t>
        </is>
      </c>
      <c r="I231" s="4" t="n">
        <v>1</v>
      </c>
      <c r="J231" s="5" t="inlineStr">
        <is>
          <t>LO ESPEJO</t>
        </is>
      </c>
      <c r="K231" s="4" t="n">
        <v>1229</v>
      </c>
    </row>
    <row r="232">
      <c r="A232" s="2">
        <f>"39060"</f>
        <v/>
      </c>
      <c r="B232" s="2" t="inlineStr">
        <is>
          <t>HKOOB37084303</t>
        </is>
      </c>
      <c r="C232" s="2" t="inlineStr">
        <is>
          <t>20/05/2026</t>
        </is>
      </c>
      <c r="D232" s="2" t="inlineStr">
        <is>
          <t>18:40:15</t>
        </is>
      </c>
      <c r="E232" s="2" t="inlineStr">
        <is>
          <t>mayo</t>
        </is>
      </c>
      <c r="F232" s="2" t="n">
        <v>2026</v>
      </c>
      <c r="G232" s="3" t="inlineStr">
        <is>
          <t>EL PINAR</t>
        </is>
      </c>
      <c r="H232" s="3" t="inlineStr">
        <is>
          <t>82623500-4/IDEAL S.A</t>
        </is>
      </c>
      <c r="I232" s="2" t="n">
        <v>1</v>
      </c>
      <c r="J232" s="3" t="inlineStr">
        <is>
          <t>EL PINAR</t>
        </is>
      </c>
      <c r="K232" s="2" t="n">
        <v>398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>
        <f>"119283"</f>
        <v/>
      </c>
      <c r="B239" s="4" t="inlineStr">
        <is>
          <t>CHKO373697 / CHKO373925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1600</v>
      </c>
    </row>
    <row r="240">
      <c r="A240" s="2">
        <f>"119286"</f>
        <v/>
      </c>
      <c r="B240" s="2" t="inlineStr">
        <is>
          <t>HKOOB37063239 / HKOOB37066332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1544</v>
      </c>
    </row>
    <row r="241">
      <c r="A241" s="4">
        <f>"119288"</f>
        <v/>
      </c>
      <c r="B241" s="4" t="inlineStr">
        <is>
          <t>CHKO373986 / HKOOB37063246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</t>
        </is>
      </c>
      <c r="K241" s="4" t="n">
        <v>1682</v>
      </c>
    </row>
    <row r="242">
      <c r="A242" s="2">
        <f>"119290"</f>
        <v/>
      </c>
      <c r="B242" s="2" t="inlineStr">
        <is>
          <t>CHKO373949 / HKOOB37037366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719</v>
      </c>
    </row>
    <row r="243">
      <c r="A243" s="4">
        <f>"119299"</f>
        <v/>
      </c>
      <c r="B243" s="4" t="inlineStr">
        <is>
          <t>CHKO373702 / CHKO373911 / CHKO374004</t>
        </is>
      </c>
      <c r="C243" s="4" t="inlineStr">
        <is>
          <t>17/05/2026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1953</v>
      </c>
    </row>
    <row r="244">
      <c r="A244" s="2">
        <f>"119301"</f>
        <v/>
      </c>
      <c r="B244" s="2" t="inlineStr">
        <is>
          <t>CHKO374005 / HKOOB37066348</t>
        </is>
      </c>
      <c r="C244" s="2" t="inlineStr">
        <is>
          <t>17/05/2026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ARICA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ARICA</t>
        </is>
      </c>
      <c r="K244" s="2" t="n">
        <v>1701</v>
      </c>
    </row>
    <row r="245">
      <c r="A245" s="4">
        <f>"119302"</f>
        <v/>
      </c>
      <c r="B245" s="4" t="inlineStr">
        <is>
          <t>HKOOB37066351 / HKOOB37066352</t>
        </is>
      </c>
      <c r="C245" s="4" t="inlineStr">
        <is>
          <t>17/05/2026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</t>
        </is>
      </c>
      <c r="H245" s="5" t="inlineStr">
        <is>
          <t>76746317-0/TRAILER LOGISTICS SPA</t>
        </is>
      </c>
      <c r="I245" s="4" t="n">
        <v>1</v>
      </c>
      <c r="J245" s="5" t="inlineStr">
        <is>
          <t>ANTOFAGASTA</t>
        </is>
      </c>
      <c r="K245" s="4" t="n">
        <v>2102</v>
      </c>
    </row>
    <row r="246">
      <c r="A246" s="2">
        <f>"119304"</f>
        <v/>
      </c>
      <c r="B246" s="2" t="inlineStr">
        <is>
          <t>HKOOB37066334 / HKOOB37066339</t>
        </is>
      </c>
      <c r="C246" s="2" t="inlineStr">
        <is>
          <t>18/05/2026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COPIAPO / LA SERENA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COPIAPO / LA SERENA</t>
        </is>
      </c>
      <c r="K246" s="2" t="n">
        <v>1619</v>
      </c>
    </row>
    <row r="247">
      <c r="A247" s="4">
        <f>"119308"</f>
        <v/>
      </c>
      <c r="B247" s="4" t="inlineStr">
        <is>
          <t>CHKO373703 / CHKO373952 / CHKO374066</t>
        </is>
      </c>
      <c r="C247" s="4" t="inlineStr">
        <is>
          <t>18/05/2026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1657</v>
      </c>
    </row>
    <row r="248">
      <c r="A248" s="2">
        <f>"119318"</f>
        <v/>
      </c>
      <c r="B248" s="2" t="inlineStr">
        <is>
          <t>CHKO373953 / HKOOB37075213</t>
        </is>
      </c>
      <c r="C248" s="2" t="inlineStr">
        <is>
          <t>18/05/2026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PTO MONTT / VALDIVIA</t>
        </is>
      </c>
      <c r="K248" s="2" t="n">
        <v>1380</v>
      </c>
    </row>
    <row r="249">
      <c r="A249" s="4">
        <f>"119341"</f>
        <v/>
      </c>
      <c r="B249" s="4" t="inlineStr">
        <is>
          <t>HKOOB37081614 / HKOOB37081617</t>
        </is>
      </c>
      <c r="C249" s="4" t="inlineStr">
        <is>
          <t>20/05/2026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RUTA SOLITARIA ELPAC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RUTA SOLITARIA ELPAC</t>
        </is>
      </c>
      <c r="K249" s="4" t="n">
        <v>1621</v>
      </c>
    </row>
    <row r="250">
      <c r="A250" s="2" t="inlineStr">
        <is>
          <t>LAS</t>
        </is>
      </c>
      <c r="B250" s="2" t="inlineStr">
        <is>
          <t>HKOOB37058740 / HKOOB37058741 / HKOOB37063774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EL PINAR / LO ESPEJO</t>
        </is>
      </c>
      <c r="H250" s="3" t="inlineStr">
        <is>
          <t>82623500-4/IDEAL S.A</t>
        </is>
      </c>
      <c r="I250" s="2" t="n">
        <v>1</v>
      </c>
      <c r="J250" s="3" t="inlineStr">
        <is>
          <t>EL PINAR / LO ESPEJO</t>
        </is>
      </c>
      <c r="K250" s="2" t="n">
        <v>3493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2026-05-20T23:18:16Z</dcterms:created>
  <dcterms:modified xmlns:dcterms="http://purl.org/dc/terms/" xmlns:xsi="http://www.w3.org/2001/XMLSchema-instance" xsi:type="dcterms:W3CDTF">2026-05-20T23:18:16Z</dcterms:modified>
</cp:coreProperties>
</file>