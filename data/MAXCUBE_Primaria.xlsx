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"119069"</f>
        <v/>
      </c>
      <c r="B213" s="4" t="inlineStr">
        <is>
          <t>CHKO372804 / CHKO372827</t>
        </is>
      </c>
      <c r="C213" s="4" t="inlineStr">
        <is>
          <t>05/05/2026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LA SERENA / RUTA SOLITARIA 1059 LV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LA SERENA / RUTA SOLITARIA 1059 LV</t>
        </is>
      </c>
      <c r="K213" s="4" t="n">
        <v>1543</v>
      </c>
    </row>
    <row r="214">
      <c r="A214" s="2">
        <f>"119087"</f>
        <v/>
      </c>
      <c r="B214" s="2" t="inlineStr">
        <is>
          <t>CHKO372924 / HKOOB36982949</t>
        </is>
      </c>
      <c r="C214" s="2" t="inlineStr">
        <is>
          <t>06/05/2026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RUTA SOLITARIA ELPAC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RUTA SOLITARIA ELPAC</t>
        </is>
      </c>
      <c r="K214" s="2" t="n">
        <v>1868</v>
      </c>
    </row>
    <row r="215">
      <c r="A215" s="4">
        <f>"119112"</f>
        <v/>
      </c>
      <c r="B215" s="4" t="inlineStr">
        <is>
          <t>HKOOB36994400 / HKOOB36994408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PTO MONTT / VALDIVIA</t>
        </is>
      </c>
      <c r="K215" s="4" t="n">
        <v>1247</v>
      </c>
    </row>
    <row r="216">
      <c r="A216" s="2">
        <f>"119113"</f>
        <v/>
      </c>
      <c r="B216" s="2" t="inlineStr">
        <is>
          <t>CHKO373144 / HKOOB36991739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CHILLAN / 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 / TALCA</t>
        </is>
      </c>
      <c r="K216" s="2" t="n">
        <v>1626</v>
      </c>
    </row>
    <row r="217">
      <c r="A217" s="4">
        <f>"119118"</f>
        <v/>
      </c>
      <c r="B217" s="4" t="inlineStr">
        <is>
          <t>CHKO373029 / CHKO373166 / HKOOB36991777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LA SERENA / RUTA SOLITARIA 1059 LV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LA SERENA / RUTA SOLITARIA 1059 LV</t>
        </is>
      </c>
      <c r="K217" s="4" t="n">
        <v>1570</v>
      </c>
    </row>
    <row r="218">
      <c r="A218" s="2">
        <f>"119133"</f>
        <v/>
      </c>
      <c r="B218" s="2" t="inlineStr">
        <is>
          <t>CHKO373305 / HKOOB36974928</t>
        </is>
      </c>
      <c r="C218" s="2" t="inlineStr">
        <is>
          <t>08/05/2026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1569</v>
      </c>
    </row>
    <row r="219">
      <c r="A219" s="4">
        <f>"119142"</f>
        <v/>
      </c>
      <c r="B219" s="4" t="inlineStr">
        <is>
          <t>CHKO373309 / CHKO373325 / HKOOB36985272</t>
        </is>
      </c>
      <c r="C219" s="4" t="inlineStr">
        <is>
          <t>08/05/2026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ARICA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ANTOFAGASTA / ARICA</t>
        </is>
      </c>
      <c r="K219" s="4" t="n">
        <v>1716</v>
      </c>
    </row>
    <row r="220">
      <c r="A220" s="2">
        <f>"119173"</f>
        <v/>
      </c>
      <c r="B220" s="2" t="inlineStr">
        <is>
          <t>CHKO373624 / HKOOB37011942</t>
        </is>
      </c>
      <c r="C220" s="2" t="inlineStr">
        <is>
          <t>11/05/2026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1664</v>
      </c>
    </row>
    <row r="221">
      <c r="A221" s="4">
        <f>"119195"</f>
        <v/>
      </c>
      <c r="B221" s="4" t="inlineStr">
        <is>
          <t>CHKO373384 / HKOOB37037365</t>
        </is>
      </c>
      <c r="C221" s="4" t="inlineStr">
        <is>
          <t>12/05/2026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1786</v>
      </c>
    </row>
    <row r="222">
      <c r="A222" s="2">
        <f>"119212"</f>
        <v/>
      </c>
      <c r="B222" s="2" t="inlineStr">
        <is>
          <t>CHKO373745 / HKOOB37043861</t>
        </is>
      </c>
      <c r="C222" s="2" t="inlineStr">
        <is>
          <t>13/05/2026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1739</v>
      </c>
    </row>
    <row r="223">
      <c r="A223" s="4" t="inlineStr">
        <is>
          <t>LAS</t>
        </is>
      </c>
      <c r="B223" s="4" t="inlineStr">
        <is>
          <t>HKOOB36985602 / HKOOB36985610 / HKOOB36991771 / HKOOB36991772 / HKOOB36997597 / HKOOB36997604 / HKOOB37004439 / HKOOB37004444 / HKOOB37004446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 ESPEJO / VINA DEL MAR</t>
        </is>
      </c>
      <c r="H223" s="5" t="inlineStr">
        <is>
          <t>SIN PROVEEDOR</t>
        </is>
      </c>
      <c r="I223" s="4" t="n">
        <v>1</v>
      </c>
      <c r="J223" s="5" t="inlineStr">
        <is>
          <t>LO ESPEJO / VINA DEL MAR</t>
        </is>
      </c>
      <c r="K223" s="4" t="n">
        <v>11269</v>
      </c>
    </row>
  </sheetData>
  <autoFilter ref="A1:K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2026-05-13T19:56:26Z</dcterms:created>
  <dcterms:modified xmlns:dcterms="http://purl.org/dc/terms/" xmlns:xsi="http://www.w3.org/2001/XMLSchema-instance" xsi:type="dcterms:W3CDTF">2026-05-13T19:56:26Z</dcterms:modified>
</cp:coreProperties>
</file>