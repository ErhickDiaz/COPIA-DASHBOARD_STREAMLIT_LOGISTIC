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"38663"</f>
        <v/>
      </c>
      <c r="B232" s="2" t="inlineStr">
        <is>
          <t>HKOOB37063764</t>
        </is>
      </c>
      <c r="C232" s="2" t="inlineStr">
        <is>
          <t>16/05/2026</t>
        </is>
      </c>
      <c r="D232" s="2" t="inlineStr">
        <is>
          <t>14:04:31</t>
        </is>
      </c>
      <c r="E232" s="2" t="inlineStr">
        <is>
          <t>mayo</t>
        </is>
      </c>
      <c r="F232" s="2" t="n">
        <v>2026</v>
      </c>
      <c r="G232" s="3" t="inlineStr">
        <is>
          <t>LO ESPEJO</t>
        </is>
      </c>
      <c r="H232" s="3" t="inlineStr">
        <is>
          <t>SIN PROVEEDOR</t>
        </is>
      </c>
      <c r="I232" s="2" t="n">
        <v>1</v>
      </c>
      <c r="J232" s="3" t="inlineStr">
        <is>
          <t>LO ESPEJO</t>
        </is>
      </c>
      <c r="K232" s="2" t="n">
        <v>1084</v>
      </c>
    </row>
    <row r="233">
      <c r="A233" s="4">
        <f>"119284"</f>
        <v/>
      </c>
      <c r="B233" s="4" t="inlineStr">
        <is>
          <t>HKOOB37064381</t>
        </is>
      </c>
      <c r="C233" s="4" t="inlineStr">
        <is>
          <t>16/05/2026</t>
        </is>
      </c>
      <c r="D233" s="4" t="inlineStr">
        <is>
          <t>14:34:42</t>
        </is>
      </c>
      <c r="E233" s="4" t="inlineStr">
        <is>
          <t>mayo</t>
        </is>
      </c>
      <c r="F233" s="4" t="n">
        <v>2026</v>
      </c>
      <c r="G233" s="5" t="inlineStr">
        <is>
          <t>SAN FERNANDO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</t>
        </is>
      </c>
      <c r="K233" s="4" t="n">
        <v>1199</v>
      </c>
    </row>
    <row r="234">
      <c r="A234" s="2">
        <f>"38644"</f>
        <v/>
      </c>
      <c r="B234" s="2" t="inlineStr">
        <is>
          <t>HKOOB37063765</t>
        </is>
      </c>
      <c r="C234" s="2" t="inlineStr">
        <is>
          <t>16/05/2026</t>
        </is>
      </c>
      <c r="D234" s="2" t="inlineStr">
        <is>
          <t>15:06:44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SIN PROVEEDOR</t>
        </is>
      </c>
      <c r="I234" s="2" t="n">
        <v>1</v>
      </c>
      <c r="J234" s="3" t="inlineStr">
        <is>
          <t>LO ESPEJO</t>
        </is>
      </c>
      <c r="K234" s="2" t="n">
        <v>1162</v>
      </c>
    </row>
    <row r="235">
      <c r="A235" s="4">
        <f>"119285"</f>
        <v/>
      </c>
      <c r="B235" s="4" t="inlineStr">
        <is>
          <t>HKOOB37066303</t>
        </is>
      </c>
      <c r="C235" s="4" t="inlineStr">
        <is>
          <t>16/05/2026</t>
        </is>
      </c>
      <c r="D235" s="4" t="inlineStr">
        <is>
          <t>16:13:26</t>
        </is>
      </c>
      <c r="E235" s="4" t="inlineStr">
        <is>
          <t>mayo</t>
        </is>
      </c>
      <c r="F235" s="4" t="n">
        <v>2026</v>
      </c>
      <c r="G235" s="5" t="inlineStr">
        <is>
          <t>LOS ANDES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LOS ANDES</t>
        </is>
      </c>
      <c r="K235" s="4" t="n">
        <v>1187</v>
      </c>
    </row>
    <row r="236">
      <c r="A236" s="2">
        <f>"38555"</f>
        <v/>
      </c>
      <c r="B236" s="2" t="inlineStr">
        <is>
          <t>HKOOB37063768</t>
        </is>
      </c>
      <c r="C236" s="2" t="inlineStr">
        <is>
          <t>16/05/2026</t>
        </is>
      </c>
      <c r="D236" s="2" t="inlineStr">
        <is>
          <t>18:08:17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1388</v>
      </c>
    </row>
    <row r="237">
      <c r="A237" s="4">
        <f>"119287"</f>
        <v/>
      </c>
      <c r="B237" s="4" t="inlineStr">
        <is>
          <t>HKOOB37063243</t>
        </is>
      </c>
      <c r="C237" s="4" t="inlineStr">
        <is>
          <t>16/05/2026</t>
        </is>
      </c>
      <c r="D237" s="4" t="inlineStr">
        <is>
          <t>18:58:33</t>
        </is>
      </c>
      <c r="E237" s="4" t="inlineStr">
        <is>
          <t>mayo</t>
        </is>
      </c>
      <c r="F237" s="4" t="n">
        <v>2026</v>
      </c>
      <c r="G237" s="5" t="inlineStr">
        <is>
          <t>CONCEPCION</t>
        </is>
      </c>
      <c r="H237" s="5" t="inlineStr">
        <is>
          <t>76746317-0/TRAILER LOGISTICS SPA</t>
        </is>
      </c>
      <c r="I237" s="4" t="n">
        <v>1</v>
      </c>
      <c r="J237" s="5" t="inlineStr">
        <is>
          <t>CONCEPCION</t>
        </is>
      </c>
      <c r="K237" s="4" t="n">
        <v>2079</v>
      </c>
    </row>
    <row r="238">
      <c r="A238" s="2">
        <f>"119289"</f>
        <v/>
      </c>
      <c r="B238" s="2" t="inlineStr">
        <is>
          <t>HKOOB37063250</t>
        </is>
      </c>
      <c r="C238" s="2" t="inlineStr">
        <is>
          <t>16/05/2026</t>
        </is>
      </c>
      <c r="D238" s="2" t="inlineStr">
        <is>
          <t>21:39:51</t>
        </is>
      </c>
      <c r="E238" s="2" t="inlineStr">
        <is>
          <t>mayo</t>
        </is>
      </c>
      <c r="F238" s="2" t="n">
        <v>2026</v>
      </c>
      <c r="G238" s="3" t="inlineStr">
        <is>
          <t>CHILLAN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CHILLAN</t>
        </is>
      </c>
      <c r="K238" s="2" t="n">
        <v>1910</v>
      </c>
    </row>
    <row r="239">
      <c r="A239" s="4">
        <f>"119112"</f>
        <v/>
      </c>
      <c r="B239" s="4" t="inlineStr">
        <is>
          <t>HKOOB36994400 / HKOOB36994408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77970090-9/TRANSPORTES DONA ISIDORA (LABBE)</t>
        </is>
      </c>
      <c r="I239" s="4" t="n">
        <v>1</v>
      </c>
      <c r="J239" s="5" t="inlineStr">
        <is>
          <t>PTO MONTT / VALDIVIA</t>
        </is>
      </c>
      <c r="K239" s="4" t="n">
        <v>1247</v>
      </c>
    </row>
    <row r="240">
      <c r="A240" s="2">
        <f>"119113"</f>
        <v/>
      </c>
      <c r="B240" s="2" t="inlineStr">
        <is>
          <t>CHKO373144 / HKOOB36991739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CHILLAN / 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CHILLAN / TALCA</t>
        </is>
      </c>
      <c r="K240" s="2" t="n">
        <v>1626</v>
      </c>
    </row>
    <row r="241">
      <c r="A241" s="4">
        <f>"119118"</f>
        <v/>
      </c>
      <c r="B241" s="4" t="inlineStr">
        <is>
          <t>CHKO373029 / CHKO373166 / HKOOB36991777</t>
        </is>
      </c>
      <c r="C241" s="4" t="inlineStr">
        <is>
          <t>07/05/2026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1570</v>
      </c>
    </row>
    <row r="242">
      <c r="A242" s="2">
        <f>"119142"</f>
        <v/>
      </c>
      <c r="B242" s="2" t="inlineStr">
        <is>
          <t>CHKO373309 / CHKO373325</t>
        </is>
      </c>
      <c r="C242" s="2" t="inlineStr">
        <is>
          <t>08/05/2026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ARICA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ANTOFAGASTA / ARICA</t>
        </is>
      </c>
      <c r="K242" s="2" t="n">
        <v>1380</v>
      </c>
    </row>
    <row r="243">
      <c r="A243" s="4">
        <f>"119173"</f>
        <v/>
      </c>
      <c r="B243" s="4" t="inlineStr">
        <is>
          <t>CHKO373624 / HKOOB37011942</t>
        </is>
      </c>
      <c r="C243" s="4" t="inlineStr">
        <is>
          <t>11/05/2026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VALDIVIA</t>
        </is>
      </c>
      <c r="K243" s="4" t="n">
        <v>1664</v>
      </c>
    </row>
    <row r="244">
      <c r="A244" s="2">
        <f>"119195"</f>
        <v/>
      </c>
      <c r="B244" s="2" t="inlineStr">
        <is>
          <t>CHKO373384 / HKOOB37037365</t>
        </is>
      </c>
      <c r="C244" s="2" t="inlineStr">
        <is>
          <t>12/05/2026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ANTOFAGASTA / IQUIQUE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ANTOFAGASTA / IQUIQUE</t>
        </is>
      </c>
      <c r="K244" s="2" t="n">
        <v>1786</v>
      </c>
    </row>
    <row r="245">
      <c r="A245" s="4">
        <f>"119212"</f>
        <v/>
      </c>
      <c r="B245" s="4" t="inlineStr">
        <is>
          <t>CHKO373745 / HKOOB37043861</t>
        </is>
      </c>
      <c r="C245" s="4" t="inlineStr">
        <is>
          <t>13/05/2026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1739</v>
      </c>
    </row>
    <row r="246">
      <c r="A246" s="2">
        <f>"119239"</f>
        <v/>
      </c>
      <c r="B246" s="2" t="inlineStr">
        <is>
          <t>CHKO373825 / CHKO373844</t>
        </is>
      </c>
      <c r="C246" s="2" t="inlineStr">
        <is>
          <t>14/05/2026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VALDIVIA</t>
        </is>
      </c>
      <c r="K246" s="2" t="n">
        <v>1679</v>
      </c>
    </row>
    <row r="247">
      <c r="A247" s="4">
        <f>"119243"</f>
        <v/>
      </c>
      <c r="B247" s="4" t="inlineStr">
        <is>
          <t>CHKO373749 / CHKO373845</t>
        </is>
      </c>
      <c r="C247" s="4" t="inlineStr">
        <is>
          <t>14/05/2026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SAN FERNANDO / TALCA</t>
        </is>
      </c>
      <c r="H247" s="5" t="inlineStr">
        <is>
          <t>76252773-1/GARATE Y GARATE LIMITADA</t>
        </is>
      </c>
      <c r="I247" s="4" t="n">
        <v>1</v>
      </c>
      <c r="J247" s="5" t="inlineStr">
        <is>
          <t>SAN FERNANDO / TALCA</t>
        </is>
      </c>
      <c r="K247" s="4" t="n">
        <v>1627</v>
      </c>
    </row>
    <row r="248">
      <c r="A248" s="2">
        <f>"119255"</f>
        <v/>
      </c>
      <c r="B248" s="2" t="inlineStr">
        <is>
          <t>CHKO373695 / CHKO373826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LOS ANGELES / TEMUCO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LOS ANGELES / TEMUCO</t>
        </is>
      </c>
      <c r="K248" s="2" t="n">
        <v>1532</v>
      </c>
    </row>
    <row r="249">
      <c r="A249" s="4">
        <f>"119258"</f>
        <v/>
      </c>
      <c r="B249" s="4" t="inlineStr">
        <is>
          <t>CHKO373754 / CHKO373867 / CHKO373905</t>
        </is>
      </c>
      <c r="C249" s="4" t="inlineStr">
        <is>
          <t>15/05/2026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LA SERENA / RUTA SOLITARIA 1059 LV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LA SERENA / RUTA SOLITARIA 1059 LV</t>
        </is>
      </c>
      <c r="K249" s="4" t="n">
        <v>1708</v>
      </c>
    </row>
    <row r="250">
      <c r="A250" s="2">
        <f>"119261"</f>
        <v/>
      </c>
      <c r="B250" s="2" t="inlineStr">
        <is>
          <t>HKOOB37052768 / HKOOB37058514</t>
        </is>
      </c>
      <c r="C250" s="2" t="inlineStr">
        <is>
          <t>15/05/2026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COPIAPO / LA SERENA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COPIAPO / LA SERENA</t>
        </is>
      </c>
      <c r="K250" s="2" t="n">
        <v>1605</v>
      </c>
    </row>
    <row r="251">
      <c r="A251" s="4">
        <f>"119283"</f>
        <v/>
      </c>
      <c r="B251" s="4" t="inlineStr">
        <is>
          <t>CHKO373697 / CHKO373925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 / TEMUCO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 / TEMUCO</t>
        </is>
      </c>
      <c r="K251" s="4" t="n">
        <v>1600</v>
      </c>
    </row>
    <row r="252">
      <c r="A252" s="2">
        <f>"119286"</f>
        <v/>
      </c>
      <c r="B252" s="2" t="inlineStr">
        <is>
          <t>HKOOB37063239 / HKOOB37066332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TALCA</t>
        </is>
      </c>
      <c r="K252" s="2" t="n">
        <v>1544</v>
      </c>
    </row>
    <row r="253">
      <c r="A253" s="4">
        <f>"119288"</f>
        <v/>
      </c>
      <c r="B253" s="4" t="inlineStr">
        <is>
          <t>CHKO373986 / HKOOB37063246</t>
        </is>
      </c>
      <c r="C253" s="4" t="inlineStr">
        <is>
          <t>16/05/2026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LOS ANGELES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LOS ANGELES</t>
        </is>
      </c>
      <c r="K253" s="4" t="n">
        <v>1682</v>
      </c>
    </row>
    <row r="254">
      <c r="A254" s="2" t="inlineStr">
        <is>
          <t>LAS</t>
        </is>
      </c>
      <c r="B254" s="2" t="inlineStr">
        <is>
          <t>HKOOB36991771 / HKOOB36991772 / HKOOB36997597 / HKOOB36997604 / HKOOB37004439 / HKOOB37004444 / HKOOB37004446 / HKOOB37058740 / HKOOB37058741 / HKOOB37063774</t>
        </is>
      </c>
      <c r="C254" s="2" t="inlineStr">
        <is>
          <t>12/05/2026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EL PINAR / LO ESPEJO / VINA DEL MAR</t>
        </is>
      </c>
      <c r="H254" s="3" t="inlineStr">
        <is>
          <t>SIN PROVEEDOR</t>
        </is>
      </c>
      <c r="I254" s="2" t="n">
        <v>1</v>
      </c>
      <c r="J254" s="3" t="inlineStr">
        <is>
          <t>EL PINAR / LO ESPEJO / VINA DEL MAR</t>
        </is>
      </c>
      <c r="K254" s="2" t="n">
        <v>12345</v>
      </c>
    </row>
  </sheetData>
  <autoFilter ref="A1:K2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2026-05-17T02:16:27Z</dcterms:created>
  <dcterms:modified xmlns:dcterms="http://purl.org/dc/terms/" xmlns:xsi="http://www.w3.org/2001/XMLSchema-instance" xsi:type="dcterms:W3CDTF">2026-05-17T02:16:27Z</dcterms:modified>
</cp:coreProperties>
</file>