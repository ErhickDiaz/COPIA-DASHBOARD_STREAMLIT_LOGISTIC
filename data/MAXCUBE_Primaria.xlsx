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"119323"</f>
        <v/>
      </c>
      <c r="B202" s="2" t="inlineStr">
        <is>
          <t>HKOOB37077212</t>
        </is>
      </c>
      <c r="C202" s="2" t="inlineStr">
        <is>
          <t>19/05/2026</t>
        </is>
      </c>
      <c r="D202" s="2" t="inlineStr">
        <is>
          <t>03:52:17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</t>
        </is>
      </c>
      <c r="K202" s="2" t="n">
        <v>1836</v>
      </c>
    </row>
    <row r="203">
      <c r="A203" s="4">
        <f>"119325"</f>
        <v/>
      </c>
      <c r="B203" s="4" t="inlineStr">
        <is>
          <t>HKOOB37075220</t>
        </is>
      </c>
      <c r="C203" s="4" t="inlineStr">
        <is>
          <t>19/05/2026</t>
        </is>
      </c>
      <c r="D203" s="4" t="inlineStr">
        <is>
          <t>04:17:19</t>
        </is>
      </c>
      <c r="E203" s="4" t="inlineStr">
        <is>
          <t>mayo</t>
        </is>
      </c>
      <c r="F203" s="4" t="n">
        <v>2026</v>
      </c>
      <c r="G203" s="5" t="inlineStr">
        <is>
          <t>MELIPILLA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MELIPILLA</t>
        </is>
      </c>
      <c r="K203" s="4" t="n">
        <v>1729</v>
      </c>
    </row>
    <row r="204">
      <c r="A204" s="2">
        <f>"119324"</f>
        <v/>
      </c>
      <c r="B204" s="2" t="inlineStr">
        <is>
          <t>HKOOB37075207</t>
        </is>
      </c>
      <c r="C204" s="2" t="inlineStr">
        <is>
          <t>19/05/2026</t>
        </is>
      </c>
      <c r="D204" s="2" t="inlineStr">
        <is>
          <t>05:33:10</t>
        </is>
      </c>
      <c r="E204" s="2" t="inlineStr">
        <is>
          <t>mayo</t>
        </is>
      </c>
      <c r="F204" s="2" t="n">
        <v>2026</v>
      </c>
      <c r="G204" s="3" t="inlineStr">
        <is>
          <t>RANCAGUA</t>
        </is>
      </c>
      <c r="H204" s="3" t="inlineStr">
        <is>
          <t>76252773-1/GARATE Y GARATE LIMITADA</t>
        </is>
      </c>
      <c r="I204" s="2" t="n">
        <v>1</v>
      </c>
      <c r="J204" s="3" t="inlineStr">
        <is>
          <t>RANCAGUA</t>
        </is>
      </c>
      <c r="K204" s="2" t="n">
        <v>1637</v>
      </c>
    </row>
    <row r="205">
      <c r="A205" s="4">
        <f>"119326"</f>
        <v/>
      </c>
      <c r="B205" s="4" t="inlineStr">
        <is>
          <t>HKOOB37075217</t>
        </is>
      </c>
      <c r="C205" s="4" t="inlineStr">
        <is>
          <t>19/05/2026</t>
        </is>
      </c>
      <c r="D205" s="4" t="inlineStr">
        <is>
          <t>07:19:58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1492</v>
      </c>
    </row>
    <row r="206">
      <c r="A206" s="2">
        <f>"119328"</f>
        <v/>
      </c>
      <c r="B206" s="2" t="inlineStr">
        <is>
          <t>HKOOB37077210</t>
        </is>
      </c>
      <c r="C206" s="2" t="inlineStr">
        <is>
          <t>19/05/2026</t>
        </is>
      </c>
      <c r="D206" s="2" t="inlineStr">
        <is>
          <t>07:29:52</t>
        </is>
      </c>
      <c r="E206" s="2" t="inlineStr">
        <is>
          <t>mayo</t>
        </is>
      </c>
      <c r="F206" s="2" t="n">
        <v>2026</v>
      </c>
      <c r="G206" s="3" t="inlineStr">
        <is>
          <t>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IQUIQUE</t>
        </is>
      </c>
      <c r="K206" s="2" t="n">
        <v>1855</v>
      </c>
    </row>
    <row r="207">
      <c r="A207" s="4">
        <f>"119327"</f>
        <v/>
      </c>
      <c r="B207" s="4" t="inlineStr">
        <is>
          <t>HKOOB37066345</t>
        </is>
      </c>
      <c r="C207" s="4" t="inlineStr">
        <is>
          <t>19/05/2026</t>
        </is>
      </c>
      <c r="D207" s="4" t="inlineStr">
        <is>
          <t>07:47:17</t>
        </is>
      </c>
      <c r="E207" s="4" t="inlineStr">
        <is>
          <t>mayo</t>
        </is>
      </c>
      <c r="F207" s="4" t="n">
        <v>2026</v>
      </c>
      <c r="G207" s="5" t="inlineStr">
        <is>
          <t>PTO MONTT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</t>
        </is>
      </c>
      <c r="K207" s="4" t="n">
        <v>1716</v>
      </c>
    </row>
    <row r="208">
      <c r="A208" s="2">
        <f>"38874"</f>
        <v/>
      </c>
      <c r="B208" s="2" t="inlineStr">
        <is>
          <t>HKOOB37075701</t>
        </is>
      </c>
      <c r="C208" s="2" t="inlineStr">
        <is>
          <t>19/05/2026</t>
        </is>
      </c>
      <c r="D208" s="2" t="inlineStr">
        <is>
          <t>08:45:33</t>
        </is>
      </c>
      <c r="E208" s="2" t="inlineStr">
        <is>
          <t>mayo</t>
        </is>
      </c>
      <c r="F208" s="2" t="n">
        <v>2026</v>
      </c>
      <c r="G208" s="3" t="inlineStr">
        <is>
          <t>EL PINAR</t>
        </is>
      </c>
      <c r="H208" s="3" t="inlineStr">
        <is>
          <t>SIN PROVEEDOR</t>
        </is>
      </c>
      <c r="I208" s="2" t="n">
        <v>1</v>
      </c>
      <c r="J208" s="3" t="inlineStr">
        <is>
          <t>EL PINAR</t>
        </is>
      </c>
      <c r="K208" s="2" t="n">
        <v>1051</v>
      </c>
    </row>
    <row r="209">
      <c r="A209" s="4">
        <f>"119329"</f>
        <v/>
      </c>
      <c r="B209" s="4" t="inlineStr">
        <is>
          <t>HKOOB37075209</t>
        </is>
      </c>
      <c r="C209" s="4" t="inlineStr">
        <is>
          <t>19/05/2026</t>
        </is>
      </c>
      <c r="D209" s="4" t="inlineStr">
        <is>
          <t>09:46:41</t>
        </is>
      </c>
      <c r="E209" s="4" t="inlineStr">
        <is>
          <t>mayo</t>
        </is>
      </c>
      <c r="F209" s="4" t="n">
        <v>2026</v>
      </c>
      <c r="G209" s="5" t="inlineStr">
        <is>
          <t>CONCEPCION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CONCEPCION</t>
        </is>
      </c>
      <c r="K209" s="4" t="n">
        <v>1780</v>
      </c>
    </row>
    <row r="210">
      <c r="A210" s="2">
        <f>"119330"</f>
        <v/>
      </c>
      <c r="B210" s="2" t="inlineStr">
        <is>
          <t>HKOOB37075216</t>
        </is>
      </c>
      <c r="C210" s="2" t="inlineStr">
        <is>
          <t>19/05/2026</t>
        </is>
      </c>
      <c r="D210" s="2" t="inlineStr">
        <is>
          <t>11:10:19</t>
        </is>
      </c>
      <c r="E210" s="2" t="inlineStr">
        <is>
          <t>mayo</t>
        </is>
      </c>
      <c r="F210" s="2" t="n">
        <v>2026</v>
      </c>
      <c r="G210" s="3" t="inlineStr">
        <is>
          <t>LOS ANGELES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LOS ANGELES</t>
        </is>
      </c>
      <c r="K210" s="2" t="n">
        <v>1805</v>
      </c>
    </row>
    <row r="211">
      <c r="A211" s="4">
        <f>"38883"</f>
        <v/>
      </c>
      <c r="B211" s="4" t="inlineStr">
        <is>
          <t>HKOOB37067764</t>
        </is>
      </c>
      <c r="C211" s="4" t="inlineStr">
        <is>
          <t>19/05/2026</t>
        </is>
      </c>
      <c r="D211" s="4" t="inlineStr">
        <is>
          <t>11:17:29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1112</v>
      </c>
    </row>
    <row r="212">
      <c r="A212" s="2">
        <f>"38897"</f>
        <v/>
      </c>
      <c r="B212" s="2" t="inlineStr">
        <is>
          <t>HKOOB37075687</t>
        </is>
      </c>
      <c r="C212" s="2" t="inlineStr">
        <is>
          <t>19/05/2026</t>
        </is>
      </c>
      <c r="D212" s="2" t="inlineStr">
        <is>
          <t>12:21:21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1399</v>
      </c>
    </row>
    <row r="213">
      <c r="A213" s="4">
        <f>"119331"</f>
        <v/>
      </c>
      <c r="B213" s="4" t="inlineStr">
        <is>
          <t>CHKO373955</t>
        </is>
      </c>
      <c r="C213" s="4" t="inlineStr">
        <is>
          <t>19/05/2026</t>
        </is>
      </c>
      <c r="D213" s="4" t="inlineStr">
        <is>
          <t>15:04:54</t>
        </is>
      </c>
      <c r="E213" s="4" t="inlineStr">
        <is>
          <t>mayo</t>
        </is>
      </c>
      <c r="F213" s="4" t="n">
        <v>2026</v>
      </c>
      <c r="G213" s="5" t="inlineStr">
        <is>
          <t>TALCA</t>
        </is>
      </c>
      <c r="H213" s="5" t="inlineStr">
        <is>
          <t>77970090-9/TRANSPORTES DONA ISIDORA (LABBE)</t>
        </is>
      </c>
      <c r="I213" s="4" t="n">
        <v>1</v>
      </c>
      <c r="J213" s="5" t="inlineStr">
        <is>
          <t>TALCA</t>
        </is>
      </c>
      <c r="K213" s="4" t="n">
        <v>1451</v>
      </c>
    </row>
    <row r="214">
      <c r="A214" s="2">
        <f>"119332"</f>
        <v/>
      </c>
      <c r="B214" s="2" t="inlineStr">
        <is>
          <t>HKOOB37075699</t>
        </is>
      </c>
      <c r="C214" s="2" t="inlineStr">
        <is>
          <t>19/05/2026</t>
        </is>
      </c>
      <c r="D214" s="2" t="inlineStr">
        <is>
          <t>15:10:48</t>
        </is>
      </c>
      <c r="E214" s="2" t="inlineStr">
        <is>
          <t>mayo</t>
        </is>
      </c>
      <c r="F214" s="2" t="n">
        <v>2026</v>
      </c>
      <c r="G214" s="3" t="inlineStr">
        <is>
          <t>VINA DEL MAR</t>
        </is>
      </c>
      <c r="H214" s="3" t="inlineStr">
        <is>
          <t>16575553-7/GABRIEL ALEJANDRO ESTAY CARRAZANA</t>
        </is>
      </c>
      <c r="I214" s="2" t="n">
        <v>1</v>
      </c>
      <c r="J214" s="3" t="inlineStr">
        <is>
          <t>VINA DEL MAR</t>
        </is>
      </c>
      <c r="K214" s="2" t="n">
        <v>1544</v>
      </c>
    </row>
    <row r="215">
      <c r="A215" s="4">
        <f>"119173"</f>
        <v/>
      </c>
      <c r="B215" s="4" t="inlineStr">
        <is>
          <t>CHKO373624 / HKOOB37011942</t>
        </is>
      </c>
      <c r="C215" s="4" t="inlineStr">
        <is>
          <t>11/05/2026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VALDIVIA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PTO MONTT / VALDIVIA</t>
        </is>
      </c>
      <c r="K215" s="4" t="n">
        <v>1664</v>
      </c>
    </row>
    <row r="216">
      <c r="A216" s="2">
        <f>"119195"</f>
        <v/>
      </c>
      <c r="B216" s="2" t="inlineStr">
        <is>
          <t>CHKO373384 / HKOOB37037365</t>
        </is>
      </c>
      <c r="C216" s="2" t="inlineStr">
        <is>
          <t>12/05/2026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ANTOFAGASTA / IQUIQUE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 / IQUIQUE</t>
        </is>
      </c>
      <c r="K216" s="2" t="n">
        <v>1786</v>
      </c>
    </row>
    <row r="217">
      <c r="A217" s="4">
        <f>"119212"</f>
        <v/>
      </c>
      <c r="B217" s="4" t="inlineStr">
        <is>
          <t>CHKO373745 / HKOOB37043861</t>
        </is>
      </c>
      <c r="C217" s="4" t="inlineStr">
        <is>
          <t>13/05/2026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PTO MONTT / RUTA SOLITARIA ELPAC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PTO MONTT / RUTA SOLITARIA ELPAC</t>
        </is>
      </c>
      <c r="K217" s="4" t="n">
        <v>1739</v>
      </c>
    </row>
    <row r="218">
      <c r="A218" s="2">
        <f>"119239"</f>
        <v/>
      </c>
      <c r="B218" s="2" t="inlineStr">
        <is>
          <t>CHKO373825 / CHKO373844</t>
        </is>
      </c>
      <c r="C218" s="2" t="inlineStr">
        <is>
          <t>14/05/2026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PTO MONTT / VALDIVIA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PTO MONTT / VALDIVIA</t>
        </is>
      </c>
      <c r="K218" s="2" t="n">
        <v>1679</v>
      </c>
    </row>
    <row r="219">
      <c r="A219" s="4">
        <f>"119243"</f>
        <v/>
      </c>
      <c r="B219" s="4" t="inlineStr">
        <is>
          <t>CHKO373749 / CHKO373845</t>
        </is>
      </c>
      <c r="C219" s="4" t="inlineStr">
        <is>
          <t>14/05/2026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SAN FERNANDO / TALCA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SAN FERNANDO / TALCA</t>
        </is>
      </c>
      <c r="K219" s="4" t="n">
        <v>1627</v>
      </c>
    </row>
    <row r="220">
      <c r="A220" s="2">
        <f>"119255"</f>
        <v/>
      </c>
      <c r="B220" s="2" t="inlineStr">
        <is>
          <t>CHKO373695 / CHKO373826</t>
        </is>
      </c>
      <c r="C220" s="2" t="inlineStr">
        <is>
          <t>15/05/2026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 / TEMUCO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 / TEMUCO</t>
        </is>
      </c>
      <c r="K220" s="2" t="n">
        <v>1532</v>
      </c>
    </row>
    <row r="221">
      <c r="A221" s="4">
        <f>"119258"</f>
        <v/>
      </c>
      <c r="B221" s="4" t="inlineStr">
        <is>
          <t>CHKO373754 / CHKO373867 / CHKO373905</t>
        </is>
      </c>
      <c r="C221" s="4" t="inlineStr">
        <is>
          <t>15/05/2026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LA SERENA / RUTA SOLITARIA 1059 LV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 / RUTA SOLITARIA 1059 LV</t>
        </is>
      </c>
      <c r="K221" s="4" t="n">
        <v>1708</v>
      </c>
    </row>
    <row r="222">
      <c r="A222" s="2">
        <f>"119261"</f>
        <v/>
      </c>
      <c r="B222" s="2" t="inlineStr">
        <is>
          <t>HKOOB37052768 / HKOOB37058514</t>
        </is>
      </c>
      <c r="C222" s="2" t="inlineStr">
        <is>
          <t>15/05/2026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COPIAPO / 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COPIAPO / LA SERENA</t>
        </is>
      </c>
      <c r="K222" s="2" t="n">
        <v>1605</v>
      </c>
    </row>
    <row r="223">
      <c r="A223" s="4">
        <f>"119283"</f>
        <v/>
      </c>
      <c r="B223" s="4" t="inlineStr">
        <is>
          <t>CHKO373697 / CHKO373925</t>
        </is>
      </c>
      <c r="C223" s="4" t="inlineStr">
        <is>
          <t>16/05/2026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LOS ANGELES / TEMUCO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LOS ANGELES / TEMUCO</t>
        </is>
      </c>
      <c r="K223" s="4" t="n">
        <v>1600</v>
      </c>
    </row>
    <row r="224">
      <c r="A224" s="2">
        <f>"119286"</f>
        <v/>
      </c>
      <c r="B224" s="2" t="inlineStr">
        <is>
          <t>HKOOB37063239 / HKOOB37066332</t>
        </is>
      </c>
      <c r="C224" s="2" t="inlineStr">
        <is>
          <t>16/05/2026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TALCA</t>
        </is>
      </c>
      <c r="K224" s="2" t="n">
        <v>1544</v>
      </c>
    </row>
    <row r="225">
      <c r="A225" s="4">
        <f>"119288"</f>
        <v/>
      </c>
      <c r="B225" s="4" t="inlineStr">
        <is>
          <t>CHKO373986 / HKOOB37063246</t>
        </is>
      </c>
      <c r="C225" s="4" t="inlineStr">
        <is>
          <t>16/05/2026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LOS ANGELES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LOS ANGELES</t>
        </is>
      </c>
      <c r="K225" s="4" t="n">
        <v>1682</v>
      </c>
    </row>
    <row r="226">
      <c r="A226" s="2">
        <f>"119290"</f>
        <v/>
      </c>
      <c r="B226" s="2" t="inlineStr">
        <is>
          <t>CHKO373949 / HKOOB37037366</t>
        </is>
      </c>
      <c r="C226" s="2" t="inlineStr">
        <is>
          <t>16/05/2026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ANTOFAGASTA / IQUIQUE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ANTOFAGASTA / IQUIQUE</t>
        </is>
      </c>
      <c r="K226" s="2" t="n">
        <v>719</v>
      </c>
    </row>
    <row r="227">
      <c r="A227" s="4">
        <f>"119299"</f>
        <v/>
      </c>
      <c r="B227" s="4" t="inlineStr">
        <is>
          <t>CHKO373702 / CHKO373911 / CHKO374004</t>
        </is>
      </c>
      <c r="C227" s="4" t="inlineStr">
        <is>
          <t>17/05/2026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VALDIVIA</t>
        </is>
      </c>
      <c r="K227" s="4" t="n">
        <v>1953</v>
      </c>
    </row>
    <row r="228">
      <c r="A228" s="2">
        <f>"119301"</f>
        <v/>
      </c>
      <c r="B228" s="2" t="inlineStr">
        <is>
          <t>CHKO374005 / HKOOB37066348</t>
        </is>
      </c>
      <c r="C228" s="2" t="inlineStr">
        <is>
          <t>18/05/2026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ARICA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ARICA</t>
        </is>
      </c>
      <c r="K228" s="2" t="n">
        <v>1701</v>
      </c>
    </row>
    <row r="229">
      <c r="A229" s="4">
        <f>"119302"</f>
        <v/>
      </c>
      <c r="B229" s="4" t="inlineStr">
        <is>
          <t>HKOOB37066351 / HKOOB37066352</t>
        </is>
      </c>
      <c r="C229" s="4" t="inlineStr">
        <is>
          <t>17/05/2026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ANTOFAGASTA</t>
        </is>
      </c>
      <c r="H229" s="5" t="inlineStr">
        <is>
          <t>76746317-0/TRAILER LOGISTICS SPA</t>
        </is>
      </c>
      <c r="I229" s="4" t="n">
        <v>1</v>
      </c>
      <c r="J229" s="5" t="inlineStr">
        <is>
          <t>ANTOFAGASTA</t>
        </is>
      </c>
      <c r="K229" s="4" t="n">
        <v>2102</v>
      </c>
    </row>
    <row r="230">
      <c r="A230" s="2">
        <f>"119304"</f>
        <v/>
      </c>
      <c r="B230" s="2" t="inlineStr">
        <is>
          <t>HKOOB37066334 / HKOOB37066339</t>
        </is>
      </c>
      <c r="C230" s="2" t="inlineStr">
        <is>
          <t>18/05/2026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COPIAPO / LA SERENA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COPIAPO / LA SERENA</t>
        </is>
      </c>
      <c r="K230" s="2" t="n">
        <v>1619</v>
      </c>
    </row>
    <row r="231">
      <c r="A231" s="4">
        <f>"119308"</f>
        <v/>
      </c>
      <c r="B231" s="4" t="inlineStr">
        <is>
          <t>CHKO373703 / CHKO373952 / CHKO374066</t>
        </is>
      </c>
      <c r="C231" s="4" t="inlineStr">
        <is>
          <t>18/05/2026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LA SERENA / RUTA SOLITARIA 1059 LV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LA SERENA / RUTA SOLITARIA 1059 LV</t>
        </is>
      </c>
      <c r="K231" s="4" t="n">
        <v>1657</v>
      </c>
    </row>
    <row r="232">
      <c r="A232" s="2">
        <f>"119318"</f>
        <v/>
      </c>
      <c r="B232" s="2" t="inlineStr">
        <is>
          <t>CHKO373953 / HKOOB37075213</t>
        </is>
      </c>
      <c r="C232" s="2" t="inlineStr">
        <is>
          <t>18/05/2026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VALDIVIA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PTO MONTT / VALDIVIA</t>
        </is>
      </c>
      <c r="K232" s="2" t="n">
        <v>1380</v>
      </c>
    </row>
    <row r="233">
      <c r="A233" s="4" t="inlineStr">
        <is>
          <t>LAS</t>
        </is>
      </c>
      <c r="B233" s="4" t="inlineStr">
        <is>
          <t>HKOOB37058740 / HKOOB37058741 / HKOOB37063774</t>
        </is>
      </c>
      <c r="C233" s="4" t="inlineStr">
        <is>
          <t>15/05/2026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EL PINAR / LO ESPEJO</t>
        </is>
      </c>
      <c r="H233" s="5" t="inlineStr">
        <is>
          <t>SIN PROVEEDOR</t>
        </is>
      </c>
      <c r="I233" s="4" t="n">
        <v>1</v>
      </c>
      <c r="J233" s="5" t="inlineStr">
        <is>
          <t>EL PINAR / LO ESPEJO</t>
        </is>
      </c>
      <c r="K233" s="4" t="n">
        <v>3493</v>
      </c>
    </row>
  </sheetData>
  <autoFilter ref="A1:K2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2026-05-19T19:51:41Z</dcterms:created>
  <dcterms:modified xmlns:dcterms="http://purl.org/dc/terms/" xmlns:xsi="http://www.w3.org/2001/XMLSchema-instance" xsi:type="dcterms:W3CDTF">2026-05-19T19:51:42Z</dcterms:modified>
</cp:coreProperties>
</file>