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"119221"</f>
        <v/>
      </c>
      <c r="B211" s="4" t="inlineStr">
        <is>
          <t>HKOOB37050391</t>
        </is>
      </c>
      <c r="C211" s="4" t="inlineStr">
        <is>
          <t>13/05/2026</t>
        </is>
      </c>
      <c r="D211" s="4" t="inlineStr">
        <is>
          <t>14:06:29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ANTOFAGASTA</t>
        </is>
      </c>
      <c r="K211" s="4" t="n">
        <v>0</v>
      </c>
    </row>
    <row r="212">
      <c r="A212" s="2">
        <f>"119222"</f>
        <v/>
      </c>
      <c r="B212" s="2" t="inlineStr">
        <is>
          <t>HKOOB37043838</t>
        </is>
      </c>
      <c r="C212" s="2" t="inlineStr">
        <is>
          <t>13/05/2026</t>
        </is>
      </c>
      <c r="D212" s="2" t="inlineStr">
        <is>
          <t>14:51:44</t>
        </is>
      </c>
      <c r="E212" s="2" t="inlineStr">
        <is>
          <t>mayo</t>
        </is>
      </c>
      <c r="F212" s="2" t="n">
        <v>2026</v>
      </c>
      <c r="G212" s="3" t="inlineStr">
        <is>
          <t>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TEMUCO</t>
        </is>
      </c>
      <c r="K212" s="2" t="n">
        <v>1803</v>
      </c>
    </row>
    <row r="213">
      <c r="A213" s="4">
        <f>"38195"</f>
        <v/>
      </c>
      <c r="B213" s="4" t="inlineStr">
        <is>
          <t>HKOOB37046780</t>
        </is>
      </c>
      <c r="C213" s="4" t="inlineStr">
        <is>
          <t>13/05/2026</t>
        </is>
      </c>
      <c r="D213" s="4" t="inlineStr">
        <is>
          <t>15:55:49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1395</v>
      </c>
    </row>
    <row r="214">
      <c r="A214" s="2">
        <f>"38200"</f>
        <v/>
      </c>
      <c r="B214" s="2" t="inlineStr">
        <is>
          <t>HKOOB37046792</t>
        </is>
      </c>
      <c r="C214" s="2" t="inlineStr">
        <is>
          <t>13/05/2026</t>
        </is>
      </c>
      <c r="D214" s="2" t="inlineStr">
        <is>
          <t>17:24:00</t>
        </is>
      </c>
      <c r="E214" s="2" t="inlineStr">
        <is>
          <t>mayo</t>
        </is>
      </c>
      <c r="F214" s="2" t="n">
        <v>2026</v>
      </c>
      <c r="G214" s="3" t="inlineStr">
        <is>
          <t>EL PINAR</t>
        </is>
      </c>
      <c r="H214" s="3" t="inlineStr">
        <is>
          <t>SIN PROVEEDOR</t>
        </is>
      </c>
      <c r="I214" s="2" t="n">
        <v>1</v>
      </c>
      <c r="J214" s="3" t="inlineStr">
        <is>
          <t>EL PINAR</t>
        </is>
      </c>
      <c r="K214" s="2" t="n">
        <v>1076</v>
      </c>
    </row>
    <row r="215">
      <c r="A215" s="4">
        <f>"119223"</f>
        <v/>
      </c>
      <c r="B215" s="4" t="inlineStr">
        <is>
          <t>HKOOB37043839</t>
        </is>
      </c>
      <c r="C215" s="4" t="inlineStr">
        <is>
          <t>13/05/2026</t>
        </is>
      </c>
      <c r="D215" s="4" t="inlineStr">
        <is>
          <t>17:34:21</t>
        </is>
      </c>
      <c r="E215" s="4" t="inlineStr">
        <is>
          <t>mayo</t>
        </is>
      </c>
      <c r="F215" s="4" t="n">
        <v>2026</v>
      </c>
      <c r="G215" s="5" t="inlineStr">
        <is>
          <t>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TEMUCO</t>
        </is>
      </c>
      <c r="K215" s="4" t="n">
        <v>1655</v>
      </c>
    </row>
    <row r="216">
      <c r="A216" s="2">
        <f>"119224"</f>
        <v/>
      </c>
      <c r="B216" s="2" t="inlineStr">
        <is>
          <t>HKOOB37043862</t>
        </is>
      </c>
      <c r="C216" s="2" t="inlineStr">
        <is>
          <t>13/05/2026</t>
        </is>
      </c>
      <c r="D216" s="2" t="inlineStr">
        <is>
          <t>18:13:08</t>
        </is>
      </c>
      <c r="E216" s="2" t="inlineStr">
        <is>
          <t>mayo</t>
        </is>
      </c>
      <c r="F216" s="2" t="n">
        <v>2026</v>
      </c>
      <c r="G216" s="3" t="inlineStr">
        <is>
          <t>SAN FERNANDO</t>
        </is>
      </c>
      <c r="H216" s="3" t="inlineStr">
        <is>
          <t>76252773-1/GARATE Y GARATE LIMITADA</t>
        </is>
      </c>
      <c r="I216" s="2" t="n">
        <v>1</v>
      </c>
      <c r="J216" s="3" t="inlineStr">
        <is>
          <t>SAN FERNANDO</t>
        </is>
      </c>
      <c r="K216" s="2" t="n">
        <v>1149</v>
      </c>
    </row>
    <row r="217">
      <c r="A217" s="4">
        <f>"119225"</f>
        <v/>
      </c>
      <c r="B217" s="4" t="inlineStr">
        <is>
          <t>HKOOB37043844</t>
        </is>
      </c>
      <c r="C217" s="4" t="inlineStr">
        <is>
          <t>13/05/2026</t>
        </is>
      </c>
      <c r="D217" s="4" t="inlineStr">
        <is>
          <t>19:06:08</t>
        </is>
      </c>
      <c r="E217" s="4" t="inlineStr">
        <is>
          <t>mayo</t>
        </is>
      </c>
      <c r="F217" s="4" t="n">
        <v>2026</v>
      </c>
      <c r="G217" s="5" t="inlineStr">
        <is>
          <t>CHILLAN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CHILLAN</t>
        </is>
      </c>
      <c r="K217" s="4" t="n">
        <v>1818</v>
      </c>
    </row>
    <row r="218">
      <c r="A218" s="2">
        <f>"119226"</f>
        <v/>
      </c>
      <c r="B218" s="2" t="inlineStr">
        <is>
          <t>HKOOB37046789</t>
        </is>
      </c>
      <c r="C218" s="2" t="inlineStr">
        <is>
          <t>13/05/2026</t>
        </is>
      </c>
      <c r="D218" s="2" t="inlineStr">
        <is>
          <t>19:40:18</t>
        </is>
      </c>
      <c r="E218" s="2" t="inlineStr">
        <is>
          <t>mayo</t>
        </is>
      </c>
      <c r="F218" s="2" t="n">
        <v>2026</v>
      </c>
      <c r="G218" s="3" t="inlineStr">
        <is>
          <t>VINA DEL MAR</t>
        </is>
      </c>
      <c r="H218" s="3" t="inlineStr">
        <is>
          <t>16575553-7/GABRIEL ALEJANDRO ESTAY CARRAZANA</t>
        </is>
      </c>
      <c r="I218" s="2" t="n">
        <v>1</v>
      </c>
      <c r="J218" s="3" t="inlineStr">
        <is>
          <t>VINA DEL MAR</t>
        </is>
      </c>
      <c r="K218" s="2" t="n">
        <v>1554</v>
      </c>
    </row>
    <row r="219">
      <c r="A219" s="4">
        <f>"119227"</f>
        <v/>
      </c>
      <c r="B219" s="4" t="inlineStr">
        <is>
          <t>HKOOB37043855</t>
        </is>
      </c>
      <c r="C219" s="4" t="inlineStr">
        <is>
          <t>13/05/2026</t>
        </is>
      </c>
      <c r="D219" s="4" t="inlineStr">
        <is>
          <t>20:05:24</t>
        </is>
      </c>
      <c r="E219" s="4" t="inlineStr">
        <is>
          <t>mayo</t>
        </is>
      </c>
      <c r="F219" s="4" t="n">
        <v>2026</v>
      </c>
      <c r="G219" s="5" t="inlineStr">
        <is>
          <t>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</t>
        </is>
      </c>
      <c r="K219" s="4" t="n">
        <v>1803</v>
      </c>
    </row>
    <row r="220">
      <c r="A220" s="2">
        <f>"119228"</f>
        <v/>
      </c>
      <c r="B220" s="2" t="inlineStr">
        <is>
          <t>HKOOB37043854</t>
        </is>
      </c>
      <c r="C220" s="2" t="inlineStr">
        <is>
          <t>13/05/2026</t>
        </is>
      </c>
      <c r="D220" s="2" t="inlineStr">
        <is>
          <t>20:32:54</t>
        </is>
      </c>
      <c r="E220" s="2" t="inlineStr">
        <is>
          <t>mayo</t>
        </is>
      </c>
      <c r="F220" s="2" t="n">
        <v>2026</v>
      </c>
      <c r="G220" s="3" t="inlineStr">
        <is>
          <t>TALCA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TALCA</t>
        </is>
      </c>
      <c r="K220" s="2" t="n">
        <v>1774</v>
      </c>
    </row>
    <row r="221">
      <c r="A221" s="4">
        <f>"119069"</f>
        <v/>
      </c>
      <c r="B221" s="4" t="inlineStr">
        <is>
          <t>CHKO372804 / CHKO372827</t>
        </is>
      </c>
      <c r="C221" s="4" t="inlineStr">
        <is>
          <t>05/05/2026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LA SERENA / RUTA SOLITARIA 1059 LV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 / RUTA SOLITARIA 1059 LV</t>
        </is>
      </c>
      <c r="K221" s="4" t="n">
        <v>1543</v>
      </c>
    </row>
    <row r="222">
      <c r="A222" s="2">
        <f>"119087"</f>
        <v/>
      </c>
      <c r="B222" s="2" t="inlineStr">
        <is>
          <t>CHKO372924 / HKOOB36982949</t>
        </is>
      </c>
      <c r="C222" s="2" t="inlineStr">
        <is>
          <t>06/05/2026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RUTA SOLITARIA ELPAC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 / RUTA SOLITARIA ELPAC</t>
        </is>
      </c>
      <c r="K222" s="2" t="n">
        <v>1868</v>
      </c>
    </row>
    <row r="223">
      <c r="A223" s="4">
        <f>"119112"</f>
        <v/>
      </c>
      <c r="B223" s="4" t="inlineStr">
        <is>
          <t>HKOOB36994400 / HKOOB36994408</t>
        </is>
      </c>
      <c r="C223" s="4" t="inlineStr">
        <is>
          <t>07/05/2026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VALDIVIA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PTO MONTT / VALDIVIA</t>
        </is>
      </c>
      <c r="K223" s="4" t="n">
        <v>1247</v>
      </c>
    </row>
    <row r="224">
      <c r="A224" s="2">
        <f>"119113"</f>
        <v/>
      </c>
      <c r="B224" s="2" t="inlineStr">
        <is>
          <t>CHKO373144 / HKOOB36991739</t>
        </is>
      </c>
      <c r="C224" s="2" t="inlineStr">
        <is>
          <t>07/05/2026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CHILLAN / 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CHILLAN / TALCA</t>
        </is>
      </c>
      <c r="K224" s="2" t="n">
        <v>1626</v>
      </c>
    </row>
    <row r="225">
      <c r="A225" s="4">
        <f>"119118"</f>
        <v/>
      </c>
      <c r="B225" s="4" t="inlineStr">
        <is>
          <t>CHKO373029 / CHKO373166 / HKOOB36991777</t>
        </is>
      </c>
      <c r="C225" s="4" t="inlineStr">
        <is>
          <t>07/05/2026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LA SERENA / RUTA SOLITARIA 1059 LV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LA SERENA / RUTA SOLITARIA 1059 LV</t>
        </is>
      </c>
      <c r="K225" s="4" t="n">
        <v>1570</v>
      </c>
    </row>
    <row r="226">
      <c r="A226" s="2">
        <f>"119133"</f>
        <v/>
      </c>
      <c r="B226" s="2" t="inlineStr">
        <is>
          <t>CHKO373305 / HKOOB36974928</t>
        </is>
      </c>
      <c r="C226" s="2" t="inlineStr">
        <is>
          <t>08/05/2026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LOS ANGELES / TEMUCO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LOS ANGELES / TEMUCO</t>
        </is>
      </c>
      <c r="K226" s="2" t="n">
        <v>1569</v>
      </c>
    </row>
    <row r="227">
      <c r="A227" s="4">
        <f>"119142"</f>
        <v/>
      </c>
      <c r="B227" s="4" t="inlineStr">
        <is>
          <t>CHKO373309 / CHKO373325 / HKOOB36985272</t>
        </is>
      </c>
      <c r="C227" s="4" t="inlineStr">
        <is>
          <t>08/05/2026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ANTOFAGASTA / ARICA</t>
        </is>
      </c>
      <c r="H227" s="5" t="inlineStr">
        <is>
          <t>77970090-9/TRANSPORTES DONA ISIDORA (LABBE)</t>
        </is>
      </c>
      <c r="I227" s="4" t="n">
        <v>1</v>
      </c>
      <c r="J227" s="5" t="inlineStr">
        <is>
          <t>ANTOFAGASTA / ARICA</t>
        </is>
      </c>
      <c r="K227" s="4" t="n">
        <v>1716</v>
      </c>
    </row>
    <row r="228">
      <c r="A228" s="2">
        <f>"119173"</f>
        <v/>
      </c>
      <c r="B228" s="2" t="inlineStr">
        <is>
          <t>CHKO373624 / HKOOB37011942</t>
        </is>
      </c>
      <c r="C228" s="2" t="inlineStr">
        <is>
          <t>11/05/2026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VALDIVIA</t>
        </is>
      </c>
      <c r="K228" s="2" t="n">
        <v>1664</v>
      </c>
    </row>
    <row r="229">
      <c r="A229" s="4">
        <f>"119195"</f>
        <v/>
      </c>
      <c r="B229" s="4" t="inlineStr">
        <is>
          <t>CHKO373384 / HKOOB37037365</t>
        </is>
      </c>
      <c r="C229" s="4" t="inlineStr">
        <is>
          <t>12/05/2026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ANTOFAGASTA / IQUIQUE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ANTOFAGASTA / IQUIQUE</t>
        </is>
      </c>
      <c r="K229" s="4" t="n">
        <v>1786</v>
      </c>
    </row>
    <row r="230">
      <c r="A230" s="2">
        <f>"119212"</f>
        <v/>
      </c>
      <c r="B230" s="2" t="inlineStr">
        <is>
          <t>CHKO373745 / HKOOB37043861</t>
        </is>
      </c>
      <c r="C230" s="2" t="inlineStr">
        <is>
          <t>13/05/2026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RUTA SOLITARIA ELPAC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RUTA SOLITARIA ELPAC</t>
        </is>
      </c>
      <c r="K230" s="2" t="n">
        <v>1739</v>
      </c>
    </row>
    <row r="231">
      <c r="A231" s="4" t="inlineStr">
        <is>
          <t>LAS</t>
        </is>
      </c>
      <c r="B231" s="4" t="inlineStr">
        <is>
          <t>HKOOB36985602 / HKOOB36985610 / HKOOB36991771 / HKOOB36991772 / HKOOB36997597 / HKOOB36997604 / HKOOB37004439 / HKOOB37004444 / HKOOB37004446</t>
        </is>
      </c>
      <c r="C231" s="4" t="inlineStr">
        <is>
          <t>12/05/2026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LO ESPEJO / VINA DEL MAR</t>
        </is>
      </c>
      <c r="H231" s="5" t="inlineStr">
        <is>
          <t>SIN PROVEEDOR</t>
        </is>
      </c>
      <c r="I231" s="4" t="n">
        <v>1</v>
      </c>
      <c r="J231" s="5" t="inlineStr">
        <is>
          <t>LO ESPEJO / VINA DEL MAR</t>
        </is>
      </c>
      <c r="K231" s="4" t="n">
        <v>11269</v>
      </c>
    </row>
  </sheetData>
  <autoFilter ref="A1:K2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2026-05-14T01:31:16Z</dcterms:created>
  <dcterms:modified xmlns:dcterms="http://purl.org/dc/terms/" xmlns:xsi="http://www.w3.org/2001/XMLSchema-instance" xsi:type="dcterms:W3CDTF">2026-05-14T01:31:16Z</dcterms:modified>
</cp:coreProperties>
</file>