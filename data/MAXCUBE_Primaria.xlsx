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"119209"</f>
        <v/>
      </c>
      <c r="B196" s="2" t="inlineStr">
        <is>
          <t>HKOOB37046560</t>
        </is>
      </c>
      <c r="C196" s="2" t="inlineStr">
        <is>
          <t>13/05/2026</t>
        </is>
      </c>
      <c r="D196" s="2" t="inlineStr">
        <is>
          <t>03:29:10</t>
        </is>
      </c>
      <c r="E196" s="2" t="inlineStr">
        <is>
          <t>mayo</t>
        </is>
      </c>
      <c r="F196" s="2" t="n">
        <v>2026</v>
      </c>
      <c r="G196" s="3" t="inlineStr">
        <is>
          <t>RANCAGUA</t>
        </is>
      </c>
      <c r="H196" s="3" t="inlineStr">
        <is>
          <t>76252773-1/GARATE Y GARATE LIMITADA</t>
        </is>
      </c>
      <c r="I196" s="2" t="n">
        <v>1</v>
      </c>
      <c r="J196" s="3" t="inlineStr">
        <is>
          <t>RANCAGUA</t>
        </is>
      </c>
      <c r="K196" s="2" t="n">
        <v>1796</v>
      </c>
    </row>
    <row r="197">
      <c r="A197" s="4">
        <f>"38111"</f>
        <v/>
      </c>
      <c r="B197" s="4" t="inlineStr">
        <is>
          <t>HKOOB37046782</t>
        </is>
      </c>
      <c r="C197" s="4" t="inlineStr">
        <is>
          <t>13/05/2026</t>
        </is>
      </c>
      <c r="D197" s="4" t="inlineStr">
        <is>
          <t>03:48:24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1132</v>
      </c>
    </row>
    <row r="198">
      <c r="A198" s="2">
        <f>"119210"</f>
        <v/>
      </c>
      <c r="B198" s="2" t="inlineStr">
        <is>
          <t>HKOOB37046788</t>
        </is>
      </c>
      <c r="C198" s="2" t="inlineStr">
        <is>
          <t>13/05/2026</t>
        </is>
      </c>
      <c r="D198" s="2" t="inlineStr">
        <is>
          <t>04:01:47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1469</v>
      </c>
    </row>
    <row r="199">
      <c r="A199" s="4">
        <f>"119211"</f>
        <v/>
      </c>
      <c r="B199" s="4" t="inlineStr">
        <is>
          <t>HKOOB37046558</t>
        </is>
      </c>
      <c r="C199" s="4" t="inlineStr">
        <is>
          <t>13/05/2026</t>
        </is>
      </c>
      <c r="D199" s="4" t="inlineStr">
        <is>
          <t>04:48:51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1754</v>
      </c>
    </row>
    <row r="200">
      <c r="A200" s="2">
        <f>"38130"</f>
        <v/>
      </c>
      <c r="B200" s="2" t="inlineStr">
        <is>
          <t>HKOOB37046793</t>
        </is>
      </c>
      <c r="C200" s="2" t="inlineStr">
        <is>
          <t>13/05/2026</t>
        </is>
      </c>
      <c r="D200" s="2" t="inlineStr">
        <is>
          <t>05:42:49</t>
        </is>
      </c>
      <c r="E200" s="2" t="inlineStr">
        <is>
          <t>mayo</t>
        </is>
      </c>
      <c r="F200" s="2" t="n">
        <v>2026</v>
      </c>
      <c r="G200" s="3" t="inlineStr">
        <is>
          <t>EL PINAR</t>
        </is>
      </c>
      <c r="H200" s="3" t="inlineStr">
        <is>
          <t>SIN PROVEEDOR</t>
        </is>
      </c>
      <c r="I200" s="2" t="n">
        <v>1</v>
      </c>
      <c r="J200" s="3" t="inlineStr">
        <is>
          <t>EL PINAR</t>
        </is>
      </c>
      <c r="K200" s="2" t="n">
        <v>968</v>
      </c>
    </row>
    <row r="201">
      <c r="A201" s="4">
        <f>"38164"</f>
        <v/>
      </c>
      <c r="B201" s="4" t="inlineStr">
        <is>
          <t>HKOOB37043860</t>
        </is>
      </c>
      <c r="C201" s="4" t="inlineStr">
        <is>
          <t>13/05/2026</t>
        </is>
      </c>
      <c r="D201" s="4" t="inlineStr">
        <is>
          <t>07:50:29</t>
        </is>
      </c>
      <c r="E201" s="4" t="inlineStr">
        <is>
          <t>mayo</t>
        </is>
      </c>
      <c r="F201" s="4" t="n">
        <v>2026</v>
      </c>
      <c r="G201" s="5" t="inlineStr">
        <is>
          <t>PTO MONTT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PTO MONTT</t>
        </is>
      </c>
      <c r="K201" s="4" t="n">
        <v>1702</v>
      </c>
    </row>
    <row r="202">
      <c r="A202" s="2">
        <f>"38161"</f>
        <v/>
      </c>
      <c r="B202" s="2" t="inlineStr">
        <is>
          <t>HKOOB37043850</t>
        </is>
      </c>
      <c r="C202" s="2" t="inlineStr">
        <is>
          <t>13/05/2026</t>
        </is>
      </c>
      <c r="D202" s="2" t="inlineStr">
        <is>
          <t>09:04:16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1678</v>
      </c>
    </row>
    <row r="203">
      <c r="A203" s="4">
        <f>"119215"</f>
        <v/>
      </c>
      <c r="B203" s="4" t="inlineStr">
        <is>
          <t>HKOOB37043863</t>
        </is>
      </c>
      <c r="C203" s="4" t="inlineStr">
        <is>
          <t>13/05/2026</t>
        </is>
      </c>
      <c r="D203" s="4" t="inlineStr">
        <is>
          <t>09:56:12</t>
        </is>
      </c>
      <c r="E203" s="4" t="inlineStr">
        <is>
          <t>mayo</t>
        </is>
      </c>
      <c r="F203" s="4" t="n">
        <v>2026</v>
      </c>
      <c r="G203" s="5" t="inlineStr">
        <is>
          <t>OSORNO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OSORNO</t>
        </is>
      </c>
      <c r="K203" s="4" t="n">
        <v>1840</v>
      </c>
    </row>
    <row r="204">
      <c r="A204" s="2">
        <f>"119216"</f>
        <v/>
      </c>
      <c r="B204" s="2" t="inlineStr">
        <is>
          <t>HKOOB37043841</t>
        </is>
      </c>
      <c r="C204" s="2" t="inlineStr">
        <is>
          <t>13/05/2026</t>
        </is>
      </c>
      <c r="D204" s="2" t="inlineStr">
        <is>
          <t>10:27:13</t>
        </is>
      </c>
      <c r="E204" s="2" t="inlineStr">
        <is>
          <t>mayo</t>
        </is>
      </c>
      <c r="F204" s="2" t="n">
        <v>2026</v>
      </c>
      <c r="G204" s="3" t="inlineStr">
        <is>
          <t>VALDIVIA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VALDIVIA</t>
        </is>
      </c>
      <c r="K204" s="2" t="n">
        <v>1873</v>
      </c>
    </row>
    <row r="205">
      <c r="A205" s="4">
        <f>"38169"</f>
        <v/>
      </c>
      <c r="B205" s="4" t="inlineStr">
        <is>
          <t>HKOOB37046778</t>
        </is>
      </c>
      <c r="C205" s="4" t="inlineStr">
        <is>
          <t>13/05/2026</t>
        </is>
      </c>
      <c r="D205" s="4" t="inlineStr">
        <is>
          <t>11:04:49</t>
        </is>
      </c>
      <c r="E205" s="4" t="inlineStr">
        <is>
          <t>mayo</t>
        </is>
      </c>
      <c r="F205" s="4" t="n">
        <v>2026</v>
      </c>
      <c r="G205" s="5" t="inlineStr">
        <is>
          <t>LO ESPEJO</t>
        </is>
      </c>
      <c r="H205" s="5" t="inlineStr">
        <is>
          <t>SIN PROVEEDOR</t>
        </is>
      </c>
      <c r="I205" s="4" t="n">
        <v>1</v>
      </c>
      <c r="J205" s="5" t="inlineStr">
        <is>
          <t>LO ESPEJO</t>
        </is>
      </c>
      <c r="K205" s="4" t="n">
        <v>1320</v>
      </c>
    </row>
    <row r="206">
      <c r="A206" s="2">
        <f>"119217"</f>
        <v/>
      </c>
      <c r="B206" s="2" t="inlineStr">
        <is>
          <t>HKOOB37046943</t>
        </is>
      </c>
      <c r="C206" s="2" t="inlineStr">
        <is>
          <t>13/05/2026</t>
        </is>
      </c>
      <c r="D206" s="2" t="inlineStr">
        <is>
          <t>11:16:52</t>
        </is>
      </c>
      <c r="E206" s="2" t="inlineStr">
        <is>
          <t>mayo</t>
        </is>
      </c>
      <c r="F206" s="2" t="n">
        <v>2026</v>
      </c>
      <c r="G206" s="3" t="inlineStr">
        <is>
          <t>LOS ANGELES</t>
        </is>
      </c>
      <c r="H206" s="3" t="inlineStr">
        <is>
          <t>SIN PROVEEDOR</t>
        </is>
      </c>
      <c r="I206" s="2" t="n">
        <v>1</v>
      </c>
      <c r="J206" s="3" t="inlineStr">
        <is>
          <t>LOS ANGELES</t>
        </is>
      </c>
      <c r="K206" s="2" t="n">
        <v>1665</v>
      </c>
    </row>
    <row r="207">
      <c r="A207" s="4">
        <f>"119219"</f>
        <v/>
      </c>
      <c r="B207" s="4" t="inlineStr">
        <is>
          <t>HKOOB37043859</t>
        </is>
      </c>
      <c r="C207" s="4" t="inlineStr">
        <is>
          <t>13/05/2026</t>
        </is>
      </c>
      <c r="D207" s="4" t="inlineStr">
        <is>
          <t>11:31:03</t>
        </is>
      </c>
      <c r="E207" s="4" t="inlineStr">
        <is>
          <t>mayo</t>
        </is>
      </c>
      <c r="F207" s="4" t="n">
        <v>2026</v>
      </c>
      <c r="G207" s="5" t="inlineStr">
        <is>
          <t>COPIAPO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COPIAPO</t>
        </is>
      </c>
      <c r="K207" s="4" t="n">
        <v>1790</v>
      </c>
    </row>
    <row r="208">
      <c r="A208" s="2">
        <f>"119218"</f>
        <v/>
      </c>
      <c r="B208" s="2" t="inlineStr">
        <is>
          <t>HKOOB37043852</t>
        </is>
      </c>
      <c r="C208" s="2" t="inlineStr">
        <is>
          <t>13/05/2026</t>
        </is>
      </c>
      <c r="D208" s="2" t="inlineStr">
        <is>
          <t>12:09:50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1523</v>
      </c>
    </row>
    <row r="209">
      <c r="A209" s="4">
        <f>"119220"</f>
        <v/>
      </c>
      <c r="B209" s="4" t="inlineStr">
        <is>
          <t>HKOOB37046790</t>
        </is>
      </c>
      <c r="C209" s="4" t="inlineStr">
        <is>
          <t>13/05/2026</t>
        </is>
      </c>
      <c r="D209" s="4" t="inlineStr">
        <is>
          <t>12:43:46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1470</v>
      </c>
    </row>
    <row r="210">
      <c r="A210" s="2">
        <f>"38185"</f>
        <v/>
      </c>
      <c r="B210" s="2" t="inlineStr">
        <is>
          <t>HKOOB37046779</t>
        </is>
      </c>
      <c r="C210" s="2" t="inlineStr">
        <is>
          <t>13/05/2026</t>
        </is>
      </c>
      <c r="D210" s="2" t="inlineStr">
        <is>
          <t>12:57:35</t>
        </is>
      </c>
      <c r="E210" s="2" t="inlineStr">
        <is>
          <t>mayo</t>
        </is>
      </c>
      <c r="F210" s="2" t="n">
        <v>2026</v>
      </c>
      <c r="G210" s="3" t="inlineStr">
        <is>
          <t>LO ESPEJO</t>
        </is>
      </c>
      <c r="H210" s="3" t="inlineStr">
        <is>
          <t>SIN PROVEEDOR</t>
        </is>
      </c>
      <c r="I210" s="2" t="n">
        <v>1</v>
      </c>
      <c r="J210" s="3" t="inlineStr">
        <is>
          <t>LO ESPEJO</t>
        </is>
      </c>
      <c r="K210" s="2" t="n">
        <v>1165</v>
      </c>
    </row>
    <row r="211">
      <c r="A211" s="4">
        <f>"119221"</f>
        <v/>
      </c>
      <c r="B211" s="4" t="inlineStr">
        <is>
          <t>HKOOB37050391</t>
        </is>
      </c>
      <c r="C211" s="4" t="inlineStr">
        <is>
          <t>13/05/2026</t>
        </is>
      </c>
      <c r="D211" s="4" t="inlineStr">
        <is>
          <t>14:06:29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76746317-0/TRAILER LOGISTICS SPA</t>
        </is>
      </c>
      <c r="I211" s="4" t="n">
        <v>1</v>
      </c>
      <c r="J211" s="5" t="inlineStr">
        <is>
          <t>ANTOFAGASTA</t>
        </is>
      </c>
      <c r="K211" s="4" t="n">
        <v>0</v>
      </c>
    </row>
    <row r="212">
      <c r="A212" s="2">
        <f>"119222"</f>
        <v/>
      </c>
      <c r="B212" s="2" t="inlineStr">
        <is>
          <t>HKOOB37043838</t>
        </is>
      </c>
      <c r="C212" s="2" t="inlineStr">
        <is>
          <t>13/05/2026</t>
        </is>
      </c>
      <c r="D212" s="2" t="inlineStr">
        <is>
          <t>14:51:44</t>
        </is>
      </c>
      <c r="E212" s="2" t="inlineStr">
        <is>
          <t>mayo</t>
        </is>
      </c>
      <c r="F212" s="2" t="n">
        <v>2026</v>
      </c>
      <c r="G212" s="3" t="inlineStr">
        <is>
          <t>TEMUCO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TEMUCO</t>
        </is>
      </c>
      <c r="K212" s="2" t="n">
        <v>1803</v>
      </c>
    </row>
    <row r="213">
      <c r="A213" s="4">
        <f>"38195"</f>
        <v/>
      </c>
      <c r="B213" s="4" t="inlineStr">
        <is>
          <t>HKOOB37046780</t>
        </is>
      </c>
      <c r="C213" s="4" t="inlineStr">
        <is>
          <t>13/05/2026</t>
        </is>
      </c>
      <c r="D213" s="4" t="inlineStr">
        <is>
          <t>15:55:49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1395</v>
      </c>
    </row>
    <row r="214">
      <c r="A214" s="2">
        <f>"38200"</f>
        <v/>
      </c>
      <c r="B214" s="2" t="inlineStr">
        <is>
          <t>HKOOB37046792</t>
        </is>
      </c>
      <c r="C214" s="2" t="inlineStr">
        <is>
          <t>13/05/2026</t>
        </is>
      </c>
      <c r="D214" s="2" t="inlineStr">
        <is>
          <t>17:24:00</t>
        </is>
      </c>
      <c r="E214" s="2" t="inlineStr">
        <is>
          <t>mayo</t>
        </is>
      </c>
      <c r="F214" s="2" t="n">
        <v>2026</v>
      </c>
      <c r="G214" s="3" t="inlineStr">
        <is>
          <t>EL PINAR</t>
        </is>
      </c>
      <c r="H214" s="3" t="inlineStr">
        <is>
          <t>SIN PROVEEDOR</t>
        </is>
      </c>
      <c r="I214" s="2" t="n">
        <v>1</v>
      </c>
      <c r="J214" s="3" t="inlineStr">
        <is>
          <t>EL PINAR</t>
        </is>
      </c>
      <c r="K214" s="2" t="n">
        <v>1076</v>
      </c>
    </row>
    <row r="215">
      <c r="A215" s="4">
        <f>"119069"</f>
        <v/>
      </c>
      <c r="B215" s="4" t="inlineStr">
        <is>
          <t>CHKO372804 / CHKO372827</t>
        </is>
      </c>
      <c r="C215" s="4" t="inlineStr">
        <is>
          <t>05/05/2026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LA SERENA / RUTA SOLITARIA 1059 LV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LA SERENA / RUTA SOLITARIA 1059 LV</t>
        </is>
      </c>
      <c r="K215" s="4" t="n">
        <v>1543</v>
      </c>
    </row>
    <row r="216">
      <c r="A216" s="2">
        <f>"119087"</f>
        <v/>
      </c>
      <c r="B216" s="2" t="inlineStr">
        <is>
          <t>CHKO372924 / HKOOB36982949</t>
        </is>
      </c>
      <c r="C216" s="2" t="inlineStr">
        <is>
          <t>06/05/2026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PTO MONTT / RUTA SOLITARIA ELPAC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PTO MONTT / RUTA SOLITARIA ELPAC</t>
        </is>
      </c>
      <c r="K216" s="2" t="n">
        <v>1868</v>
      </c>
    </row>
    <row r="217">
      <c r="A217" s="4">
        <f>"119112"</f>
        <v/>
      </c>
      <c r="B217" s="4" t="inlineStr">
        <is>
          <t>HKOOB36994400 / HKOOB36994408</t>
        </is>
      </c>
      <c r="C217" s="4" t="inlineStr">
        <is>
          <t>07/05/2026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PTO MONTT / VALDIVIA</t>
        </is>
      </c>
      <c r="H217" s="5" t="inlineStr">
        <is>
          <t>77970090-9/TRANSPORTES DONA ISIDORA (LABBE)</t>
        </is>
      </c>
      <c r="I217" s="4" t="n">
        <v>1</v>
      </c>
      <c r="J217" s="5" t="inlineStr">
        <is>
          <t>PTO MONTT / VALDIVIA</t>
        </is>
      </c>
      <c r="K217" s="4" t="n">
        <v>1247</v>
      </c>
    </row>
    <row r="218">
      <c r="A218" s="2">
        <f>"119113"</f>
        <v/>
      </c>
      <c r="B218" s="2" t="inlineStr">
        <is>
          <t>CHKO373144 / HKOOB36991739</t>
        </is>
      </c>
      <c r="C218" s="2" t="inlineStr">
        <is>
          <t>07/05/2026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CHILLAN / TALCA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 / TALCA</t>
        </is>
      </c>
      <c r="K218" s="2" t="n">
        <v>1626</v>
      </c>
    </row>
    <row r="219">
      <c r="A219" s="4">
        <f>"119118"</f>
        <v/>
      </c>
      <c r="B219" s="4" t="inlineStr">
        <is>
          <t>CHKO373029 / CHKO373166 / HKOOB36991777</t>
        </is>
      </c>
      <c r="C219" s="4" t="inlineStr">
        <is>
          <t>07/05/2026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LA SERENA / RUTA SOLITARIA 1059 LV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LA SERENA / RUTA SOLITARIA 1059 LV</t>
        </is>
      </c>
      <c r="K219" s="4" t="n">
        <v>1570</v>
      </c>
    </row>
    <row r="220">
      <c r="A220" s="2">
        <f>"119133"</f>
        <v/>
      </c>
      <c r="B220" s="2" t="inlineStr">
        <is>
          <t>CHKO373305 / HKOOB36974928</t>
        </is>
      </c>
      <c r="C220" s="2" t="inlineStr">
        <is>
          <t>08/05/2026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LOS ANGELES / TEMUCO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LOS ANGELES / TEMUCO</t>
        </is>
      </c>
      <c r="K220" s="2" t="n">
        <v>1569</v>
      </c>
    </row>
    <row r="221">
      <c r="A221" s="4">
        <f>"119142"</f>
        <v/>
      </c>
      <c r="B221" s="4" t="inlineStr">
        <is>
          <t>CHKO373309 / CHKO373325 / HKOOB36985272</t>
        </is>
      </c>
      <c r="C221" s="4" t="inlineStr">
        <is>
          <t>08/05/2026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ANTOFAGASTA / ARICA</t>
        </is>
      </c>
      <c r="H221" s="5" t="inlineStr">
        <is>
          <t>77970090-9/TRANSPORTES DONA ISIDORA (LABBE)</t>
        </is>
      </c>
      <c r="I221" s="4" t="n">
        <v>1</v>
      </c>
      <c r="J221" s="5" t="inlineStr">
        <is>
          <t>ANTOFAGASTA / ARICA</t>
        </is>
      </c>
      <c r="K221" s="4" t="n">
        <v>1716</v>
      </c>
    </row>
    <row r="222">
      <c r="A222" s="2">
        <f>"119173"</f>
        <v/>
      </c>
      <c r="B222" s="2" t="inlineStr">
        <is>
          <t>CHKO373624 / HKOOB37011942</t>
        </is>
      </c>
      <c r="C222" s="2" t="inlineStr">
        <is>
          <t>11/05/2026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PTO MONTT / VALDIVIA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 / VALDIVIA</t>
        </is>
      </c>
      <c r="K222" s="2" t="n">
        <v>1664</v>
      </c>
    </row>
    <row r="223">
      <c r="A223" s="4">
        <f>"119195"</f>
        <v/>
      </c>
      <c r="B223" s="4" t="inlineStr">
        <is>
          <t>CHKO373384 / HKOOB37037365</t>
        </is>
      </c>
      <c r="C223" s="4" t="inlineStr">
        <is>
          <t>12/05/2026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ANTOFAGASTA / IQUIQUE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ANTOFAGASTA / IQUIQUE</t>
        </is>
      </c>
      <c r="K223" s="4" t="n">
        <v>1786</v>
      </c>
    </row>
    <row r="224">
      <c r="A224" s="2">
        <f>"119212"</f>
        <v/>
      </c>
      <c r="B224" s="2" t="inlineStr">
        <is>
          <t>CHKO373745 / HKOOB37043861</t>
        </is>
      </c>
      <c r="C224" s="2" t="inlineStr">
        <is>
          <t>13/05/2026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PTO MONTT / RUTA SOLITARIA ELPAC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PTO MONTT / RUTA SOLITARIA ELPAC</t>
        </is>
      </c>
      <c r="K224" s="2" t="n">
        <v>1739</v>
      </c>
    </row>
    <row r="225">
      <c r="A225" s="4" t="inlineStr">
        <is>
          <t>LAS</t>
        </is>
      </c>
      <c r="B225" s="4" t="inlineStr">
        <is>
          <t>HKOOB36985602 / HKOOB36985610 / HKOOB36991771 / HKOOB36991772 / HKOOB36997597 / HKOOB36997604 / HKOOB37004439 / HKOOB37004444 / HKOOB37004446</t>
        </is>
      </c>
      <c r="C225" s="4" t="inlineStr">
        <is>
          <t>12/05/2026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LO ESPEJO / VINA DEL MAR</t>
        </is>
      </c>
      <c r="H225" s="5" t="inlineStr">
        <is>
          <t>SIN PROVEEDOR</t>
        </is>
      </c>
      <c r="I225" s="4" t="n">
        <v>1</v>
      </c>
      <c r="J225" s="5" t="inlineStr">
        <is>
          <t>LO ESPEJO / VINA DEL MAR</t>
        </is>
      </c>
      <c r="K225" s="4" t="n">
        <v>11269</v>
      </c>
    </row>
  </sheetData>
  <autoFilter ref="A1:K2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2026-05-13T21:45:11Z</dcterms:created>
  <dcterms:modified xmlns:dcterms="http://purl.org/dc/terms/" xmlns:xsi="http://www.w3.org/2001/XMLSchema-instance" xsi:type="dcterms:W3CDTF">2026-05-13T21:45:12Z</dcterms:modified>
</cp:coreProperties>
</file>