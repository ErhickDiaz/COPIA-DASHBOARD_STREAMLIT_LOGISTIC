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11:28:46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82623500-4/IDEAL S.A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11:53:27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15:52:51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16:55:25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18:14:16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82623500-4/IDEAL S.A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18:24:59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19:06:10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82623500-4/IDEAL S.A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20:11:59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21:14:13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23:53:40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01:54:36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82623500-4/IDEAL S.A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03:24:59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82623500-4/IDEAL S.A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03:41:51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04:30:28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82623500-4/IDEAL S.A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04:45:55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05:09:04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06:21:53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82623500-4/IDEAL S.A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09:33:18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10:20:26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"119194"</f>
        <v/>
      </c>
      <c r="B21" s="4" t="inlineStr">
        <is>
          <t>HKOOB37035196</t>
        </is>
      </c>
      <c r="C21" s="4" t="inlineStr">
        <is>
          <t>12/05/2026</t>
        </is>
      </c>
      <c r="D21" s="4" t="inlineStr">
        <is>
          <t>11:45:37</t>
        </is>
      </c>
      <c r="E21" s="4" t="inlineStr">
        <is>
          <t>mayo</t>
        </is>
      </c>
      <c r="F21" s="4" t="n">
        <v>2026</v>
      </c>
      <c r="G21" s="5" t="inlineStr">
        <is>
          <t>PTO MONTT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PTO MONTT</t>
        </is>
      </c>
      <c r="K21" s="4" t="n">
        <v>1638</v>
      </c>
    </row>
    <row r="22">
      <c r="A22" s="2">
        <f>"119195"</f>
        <v/>
      </c>
      <c r="B22" s="2" t="inlineStr">
        <is>
          <t>HKOOB37037365</t>
        </is>
      </c>
      <c r="C22" s="2" t="inlineStr">
        <is>
          <t>12/05/2026</t>
        </is>
      </c>
      <c r="D22" s="2" t="inlineStr">
        <is>
          <t>12:09:31</t>
        </is>
      </c>
      <c r="E22" s="2" t="inlineStr">
        <is>
          <t>mayo</t>
        </is>
      </c>
      <c r="F22" s="2" t="n">
        <v>2026</v>
      </c>
      <c r="G22" s="3" t="inlineStr">
        <is>
          <t>IQUIQUE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IQUIQUE</t>
        </is>
      </c>
      <c r="K22" s="2" t="n">
        <v>1191</v>
      </c>
    </row>
    <row r="23">
      <c r="A23" s="4">
        <f>"38043"</f>
        <v/>
      </c>
      <c r="B23" s="4" t="inlineStr">
        <is>
          <t>HKOOB37036933</t>
        </is>
      </c>
      <c r="C23" s="4" t="inlineStr">
        <is>
          <t>12/05/2026</t>
        </is>
      </c>
      <c r="D23" s="4" t="inlineStr">
        <is>
          <t>12:52:12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82623500-4/IDEAL S.A</t>
        </is>
      </c>
      <c r="I23" s="4" t="n">
        <v>1</v>
      </c>
      <c r="J23" s="5" t="inlineStr">
        <is>
          <t>LO ESPEJO</t>
        </is>
      </c>
      <c r="K23" s="4" t="n">
        <v>0</v>
      </c>
    </row>
    <row r="24">
      <c r="A24" s="2">
        <f>"38046"</f>
        <v/>
      </c>
      <c r="B24" s="2" t="inlineStr">
        <is>
          <t>CHKO373668</t>
        </is>
      </c>
      <c r="C24" s="2" t="inlineStr">
        <is>
          <t>12/05/2026</t>
        </is>
      </c>
      <c r="D24" s="2" t="inlineStr">
        <is>
          <t>13:12:55</t>
        </is>
      </c>
      <c r="E24" s="2" t="inlineStr">
        <is>
          <t>mayo</t>
        </is>
      </c>
      <c r="F24" s="2" t="n">
        <v>2026</v>
      </c>
      <c r="G24" s="3" t="inlineStr">
        <is>
          <t>LA SERENA</t>
        </is>
      </c>
      <c r="H24" s="3" t="inlineStr">
        <is>
          <t>77970090-9/TRANSPORTES DONA ISIDORA (LABBE)</t>
        </is>
      </c>
      <c r="I24" s="2" t="n">
        <v>1</v>
      </c>
      <c r="J24" s="3" t="inlineStr">
        <is>
          <t>LA SERENA</t>
        </is>
      </c>
      <c r="K24" s="2" t="n">
        <v>360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13:18:32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"38049"</f>
        <v/>
      </c>
      <c r="B26" s="2" t="inlineStr">
        <is>
          <t>CHKO373646</t>
        </is>
      </c>
      <c r="C26" s="2" t="inlineStr">
        <is>
          <t>12/05/2026</t>
        </is>
      </c>
      <c r="D26" s="2" t="inlineStr">
        <is>
          <t>13:25:28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443</v>
      </c>
    </row>
    <row r="27">
      <c r="A27" s="4">
        <f>"38050"</f>
        <v/>
      </c>
      <c r="B27" s="4" t="inlineStr">
        <is>
          <t>HKOOB37035188</t>
        </is>
      </c>
      <c r="C27" s="4" t="inlineStr">
        <is>
          <t>12/05/2026</t>
        </is>
      </c>
      <c r="D27" s="4" t="inlineStr">
        <is>
          <t>13:38:07</t>
        </is>
      </c>
      <c r="E27" s="4" t="inlineStr">
        <is>
          <t>mayo</t>
        </is>
      </c>
      <c r="F27" s="4" t="n">
        <v>2026</v>
      </c>
      <c r="G27" s="5" t="inlineStr">
        <is>
          <t>CONCEPCION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CONCEPCION</t>
        </is>
      </c>
      <c r="K27" s="4" t="n">
        <v>1556</v>
      </c>
    </row>
    <row r="28">
      <c r="A28" s="2">
        <f>"38054"</f>
        <v/>
      </c>
      <c r="B28" s="2" t="inlineStr">
        <is>
          <t>HKOOB37037369</t>
        </is>
      </c>
      <c r="C28" s="2" t="inlineStr">
        <is>
          <t>12/05/2026</t>
        </is>
      </c>
      <c r="D28" s="2" t="inlineStr">
        <is>
          <t>14:10:38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76746317-0/TRAILER LOGISTICS SPA</t>
        </is>
      </c>
      <c r="I28" s="2" t="n">
        <v>1</v>
      </c>
      <c r="J28" s="3" t="inlineStr">
        <is>
          <t>ANTOFAGASTA</t>
        </is>
      </c>
      <c r="K28" s="2" t="n">
        <v>2016</v>
      </c>
    </row>
    <row r="29">
      <c r="A29" s="4">
        <f>"119199"</f>
        <v/>
      </c>
      <c r="B29" s="4" t="inlineStr">
        <is>
          <t>HKOOB37035184</t>
        </is>
      </c>
      <c r="C29" s="4" t="inlineStr">
        <is>
          <t>12/05/2026</t>
        </is>
      </c>
      <c r="D29" s="4" t="inlineStr">
        <is>
          <t>14:29:28</t>
        </is>
      </c>
      <c r="E29" s="4" t="inlineStr">
        <is>
          <t>mayo</t>
        </is>
      </c>
      <c r="F29" s="4" t="n">
        <v>2026</v>
      </c>
      <c r="G29" s="5" t="inlineStr">
        <is>
          <t>LOS ANGELES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LOS ANGELES</t>
        </is>
      </c>
      <c r="K29" s="4" t="n">
        <v>1712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16:06:36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82623500-4/IDEAL S.A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16:45:38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82623500-4/IDEAL S.A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17:20:43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"38065"</f>
        <v/>
      </c>
      <c r="B33" s="4" t="inlineStr">
        <is>
          <t>HKOOB37036932</t>
        </is>
      </c>
      <c r="C33" s="4" t="inlineStr">
        <is>
          <t>12/05/2026</t>
        </is>
      </c>
      <c r="D33" s="4" t="inlineStr">
        <is>
          <t>17:55:45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82623500-4/IDEAL S.A</t>
        </is>
      </c>
      <c r="I33" s="4" t="n">
        <v>1</v>
      </c>
      <c r="J33" s="5" t="inlineStr">
        <is>
          <t>LO ESPEJO</t>
        </is>
      </c>
      <c r="K33" s="4" t="n">
        <v>1380</v>
      </c>
    </row>
    <row r="34">
      <c r="A34" s="2">
        <f>"119201"</f>
        <v/>
      </c>
      <c r="B34" s="2" t="inlineStr">
        <is>
          <t>HKOOB37035195</t>
        </is>
      </c>
      <c r="C34" s="2" t="inlineStr">
        <is>
          <t>12/05/2026</t>
        </is>
      </c>
      <c r="D34" s="2" t="inlineStr">
        <is>
          <t>19:18:35</t>
        </is>
      </c>
      <c r="E34" s="2" t="inlineStr">
        <is>
          <t>mayo</t>
        </is>
      </c>
      <c r="F34" s="2" t="n">
        <v>2026</v>
      </c>
      <c r="G34" s="3" t="inlineStr">
        <is>
          <t>TEMUCO</t>
        </is>
      </c>
      <c r="H34" s="3" t="inlineStr">
        <is>
          <t>77970090-9/TRANSPORTES DONA ISIDORA (LABBE)</t>
        </is>
      </c>
      <c r="I34" s="2" t="n">
        <v>1</v>
      </c>
      <c r="J34" s="3" t="inlineStr">
        <is>
          <t>TEMUCO</t>
        </is>
      </c>
      <c r="K34" s="2" t="n">
        <v>1813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20:29:28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20:59:49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82623500-4/IDEAL S.A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22:08:53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22:30:55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22:50:37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23:55:41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02:55:17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82623500-4/IDEAL S.A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"38111"</f>
        <v/>
      </c>
      <c r="B42" s="2" t="inlineStr">
        <is>
          <t>HKOOB37046782</t>
        </is>
      </c>
      <c r="C42" s="2" t="inlineStr">
        <is>
          <t>13/05/2026</t>
        </is>
      </c>
      <c r="D42" s="2" t="inlineStr">
        <is>
          <t>03:49:17</t>
        </is>
      </c>
      <c r="E42" s="2" t="inlineStr">
        <is>
          <t>mayo</t>
        </is>
      </c>
      <c r="F42" s="2" t="n">
        <v>2026</v>
      </c>
      <c r="G42" s="3" t="inlineStr">
        <is>
          <t>LO ESPEJO</t>
        </is>
      </c>
      <c r="H42" s="3" t="inlineStr">
        <is>
          <t>82623500-4/IDEAL S.A</t>
        </is>
      </c>
      <c r="I42" s="2" t="n">
        <v>1</v>
      </c>
      <c r="J42" s="3" t="inlineStr">
        <is>
          <t>LO ESPEJO</t>
        </is>
      </c>
      <c r="K42" s="2" t="n">
        <v>1132</v>
      </c>
    </row>
    <row r="43">
      <c r="A43" s="4">
        <f>"119209"</f>
        <v/>
      </c>
      <c r="B43" s="4" t="inlineStr">
        <is>
          <t>HKOOB37046560</t>
        </is>
      </c>
      <c r="C43" s="4" t="inlineStr">
        <is>
          <t>13/05/2026</t>
        </is>
      </c>
      <c r="D43" s="4" t="inlineStr">
        <is>
          <t>03:58:34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1796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04:19:41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82623500-4/IDEAL S.A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04:49:39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CONCEPCION</t>
        </is>
      </c>
      <c r="K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PTO MONTT</t>
        </is>
      </c>
      <c r="K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4" t="n">
        <v>1</v>
      </c>
      <c r="J49" s="5" t="inlineStr">
        <is>
          <t>LO ESPEJO</t>
        </is>
      </c>
      <c r="K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OSORNO</t>
        </is>
      </c>
      <c r="K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VALDIVIA</t>
        </is>
      </c>
      <c r="K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TALCA</t>
        </is>
      </c>
      <c r="K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COPIAPO</t>
        </is>
      </c>
      <c r="K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4" t="n">
        <v>1</v>
      </c>
      <c r="J71" s="5" t="inlineStr">
        <is>
          <t>LO ESPEJO</t>
        </is>
      </c>
      <c r="K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2" t="n">
        <v>1</v>
      </c>
      <c r="J72" s="3" t="inlineStr">
        <is>
          <t>VINA DEL MAR</t>
        </is>
      </c>
      <c r="K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PTO MONTT</t>
        </is>
      </c>
      <c r="K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2" t="n">
        <v>1</v>
      </c>
      <c r="J84" s="3" t="inlineStr">
        <is>
          <t>LO ESPEJO</t>
        </is>
      </c>
      <c r="K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13:37:50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13:39:25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17:42:12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19:33:00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19:58:35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"119246"</f>
        <v/>
      </c>
      <c r="B91" s="4" t="inlineStr">
        <is>
          <t>HKOOB37052567</t>
        </is>
      </c>
      <c r="C91" s="4" t="inlineStr">
        <is>
          <t>14/05/2026</t>
        </is>
      </c>
      <c r="D91" s="4" t="inlineStr">
        <is>
          <t>23:24:34</t>
        </is>
      </c>
      <c r="E91" s="4" t="inlineStr">
        <is>
          <t>mayo</t>
        </is>
      </c>
      <c r="F91" s="4" t="n">
        <v>2026</v>
      </c>
      <c r="G91" s="5" t="inlineStr">
        <is>
          <t>LA SERENA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LA SERENA</t>
        </is>
      </c>
      <c r="K91" s="4" t="n">
        <v>1577</v>
      </c>
    </row>
    <row r="92">
      <c r="A92" s="2">
        <f>"119247"</f>
        <v/>
      </c>
      <c r="B92" s="2" t="inlineStr">
        <is>
          <t>HKOOB37053075</t>
        </is>
      </c>
      <c r="C92" s="2" t="inlineStr">
        <is>
          <t>14/05/2026</t>
        </is>
      </c>
      <c r="D92" s="2" t="inlineStr">
        <is>
          <t>23:57:52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76746317-0/TRAILER LOGISTICS SPA</t>
        </is>
      </c>
      <c r="I92" s="2" t="n">
        <v>1</v>
      </c>
      <c r="J92" s="3" t="inlineStr">
        <is>
          <t>CONCEPCION</t>
        </is>
      </c>
      <c r="K92" s="2" t="n">
        <v>2004</v>
      </c>
    </row>
    <row r="93">
      <c r="A93" s="4">
        <f>"119248"</f>
        <v/>
      </c>
      <c r="B93" s="4" t="inlineStr">
        <is>
          <t>HKOOB37052769</t>
        </is>
      </c>
      <c r="C93" s="4" t="inlineStr">
        <is>
          <t>15/05/2026</t>
        </is>
      </c>
      <c r="D93" s="4" t="inlineStr">
        <is>
          <t>02:00:33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LA SERENA</t>
        </is>
      </c>
      <c r="K93" s="4" t="n">
        <v>1539</v>
      </c>
    </row>
    <row r="94">
      <c r="A94" s="2">
        <f>"119249"</f>
        <v/>
      </c>
      <c r="B94" s="2" t="inlineStr">
        <is>
          <t>HKOOB37058749</t>
        </is>
      </c>
      <c r="C94" s="2" t="inlineStr">
        <is>
          <t>15/05/2026</t>
        </is>
      </c>
      <c r="D94" s="2" t="inlineStr">
        <is>
          <t>02:11:23</t>
        </is>
      </c>
      <c r="E94" s="2" t="inlineStr">
        <is>
          <t>mayo</t>
        </is>
      </c>
      <c r="F94" s="2" t="n">
        <v>2026</v>
      </c>
      <c r="G94" s="3" t="inlineStr">
        <is>
          <t>VINA DEL MAR</t>
        </is>
      </c>
      <c r="H94" s="3" t="inlineStr">
        <is>
          <t>82623500-4/IDEAL S.A</t>
        </is>
      </c>
      <c r="I94" s="2" t="n">
        <v>1</v>
      </c>
      <c r="J94" s="3" t="inlineStr">
        <is>
          <t>VINA DEL MAR</t>
        </is>
      </c>
      <c r="K94" s="2" t="n">
        <v>1755</v>
      </c>
    </row>
    <row r="95">
      <c r="A95" s="4">
        <f>"119250"</f>
        <v/>
      </c>
      <c r="B95" s="4" t="inlineStr">
        <is>
          <t>HKOOB37052765</t>
        </is>
      </c>
      <c r="C95" s="4" t="inlineStr">
        <is>
          <t>15/05/2026</t>
        </is>
      </c>
      <c r="D95" s="4" t="inlineStr">
        <is>
          <t>03:21:47</t>
        </is>
      </c>
      <c r="E95" s="4" t="inlineStr">
        <is>
          <t>mayo</t>
        </is>
      </c>
      <c r="F95" s="4" t="n">
        <v>2026</v>
      </c>
      <c r="G95" s="5" t="inlineStr">
        <is>
          <t>VINA DEL MAR</t>
        </is>
      </c>
      <c r="H95" s="5" t="inlineStr">
        <is>
          <t>16575553-7/GABRIEL ALEJANDRO ESTAY CARRAZANA</t>
        </is>
      </c>
      <c r="I95" s="4" t="n">
        <v>1</v>
      </c>
      <c r="J95" s="5" t="inlineStr">
        <is>
          <t>VINA DEL MAR</t>
        </is>
      </c>
      <c r="K95" s="4" t="n">
        <v>1615</v>
      </c>
    </row>
    <row r="96">
      <c r="A96" s="2">
        <f>"119252"</f>
        <v/>
      </c>
      <c r="B96" s="2" t="inlineStr">
        <is>
          <t>HKOOB37058510</t>
        </is>
      </c>
      <c r="C96" s="2" t="inlineStr">
        <is>
          <t>15/05/2026</t>
        </is>
      </c>
      <c r="D96" s="2" t="inlineStr">
        <is>
          <t>04:03:35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896</v>
      </c>
    </row>
    <row r="97">
      <c r="A97" s="4">
        <f>"119251"</f>
        <v/>
      </c>
      <c r="B97" s="4" t="inlineStr">
        <is>
          <t>HKOOB37058567</t>
        </is>
      </c>
      <c r="C97" s="4" t="inlineStr">
        <is>
          <t>15/05/2026</t>
        </is>
      </c>
      <c r="D97" s="4" t="inlineStr">
        <is>
          <t>04:14:44</t>
        </is>
      </c>
      <c r="E97" s="4" t="inlineStr">
        <is>
          <t>mayo</t>
        </is>
      </c>
      <c r="F97" s="4" t="n">
        <v>2026</v>
      </c>
      <c r="G97" s="5" t="inlineStr">
        <is>
          <t>MELIPILLA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MELIPILLA</t>
        </is>
      </c>
      <c r="K97" s="4" t="n">
        <v>1614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04:30:04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82623500-4/IDEAL S.A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04:57:42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"119254"</f>
        <v/>
      </c>
      <c r="B100" s="2" t="inlineStr">
        <is>
          <t>HKOOB37058504</t>
        </is>
      </c>
      <c r="C100" s="2" t="inlineStr">
        <is>
          <t>15/05/2026</t>
        </is>
      </c>
      <c r="D100" s="2" t="inlineStr">
        <is>
          <t>05:34:22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1664</v>
      </c>
    </row>
    <row r="101">
      <c r="A101" s="4">
        <f>"38426"</f>
        <v/>
      </c>
      <c r="B101" s="4" t="inlineStr">
        <is>
          <t>HKOOB37052763</t>
        </is>
      </c>
      <c r="C101" s="4" t="inlineStr">
        <is>
          <t>15/05/2026</t>
        </is>
      </c>
      <c r="D101" s="4" t="inlineStr">
        <is>
          <t>06:10:50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82623500-4/IDEAL S.A</t>
        </is>
      </c>
      <c r="I101" s="4" t="n">
        <v>1</v>
      </c>
      <c r="J101" s="5" t="inlineStr">
        <is>
          <t>EL PINAR</t>
        </is>
      </c>
      <c r="K101" s="4" t="n">
        <v>1159</v>
      </c>
    </row>
    <row r="102">
      <c r="A102" s="2">
        <f>"119256"</f>
        <v/>
      </c>
      <c r="B102" s="2" t="inlineStr">
        <is>
          <t>HKOOB37058768</t>
        </is>
      </c>
      <c r="C102" s="2" t="inlineStr">
        <is>
          <t>15/05/2026</t>
        </is>
      </c>
      <c r="D102" s="2" t="inlineStr">
        <is>
          <t>11:44:06</t>
        </is>
      </c>
      <c r="E102" s="2" t="inlineStr">
        <is>
          <t>mayo</t>
        </is>
      </c>
      <c r="F102" s="2" t="n">
        <v>2026</v>
      </c>
      <c r="G102" s="3" t="inlineStr">
        <is>
          <t>ANTOFAGASTA</t>
        </is>
      </c>
      <c r="H102" s="3" t="inlineStr">
        <is>
          <t>76746317-0/TRAILER LOGISTICS SPA</t>
        </is>
      </c>
      <c r="I102" s="2" t="n">
        <v>1</v>
      </c>
      <c r="J102" s="3" t="inlineStr">
        <is>
          <t>ANTOFAGASTA</t>
        </is>
      </c>
      <c r="K102" s="2" t="n">
        <v>2318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12:10:40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82623500-4/IDEAL S.A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"119257"</f>
        <v/>
      </c>
      <c r="B104" s="2" t="inlineStr">
        <is>
          <t>HKOOB37058554</t>
        </is>
      </c>
      <c r="C104" s="2" t="inlineStr">
        <is>
          <t>15/05/2026</t>
        </is>
      </c>
      <c r="D104" s="2" t="inlineStr">
        <is>
          <t>12:35:17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1586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13:35:37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13:52:18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15:53:30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16:59:36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"38504"</f>
        <v/>
      </c>
      <c r="B109" s="4" t="inlineStr">
        <is>
          <t>HKOOB37058753</t>
        </is>
      </c>
      <c r="C109" s="4" t="inlineStr">
        <is>
          <t>15/05/2026</t>
        </is>
      </c>
      <c r="D109" s="4" t="inlineStr">
        <is>
          <t>18:31:21</t>
        </is>
      </c>
      <c r="E109" s="4" t="inlineStr">
        <is>
          <t>mayo</t>
        </is>
      </c>
      <c r="F109" s="4" t="n">
        <v>2026</v>
      </c>
      <c r="G109" s="5" t="inlineStr">
        <is>
          <t>EL PINAR</t>
        </is>
      </c>
      <c r="H109" s="5" t="inlineStr">
        <is>
          <t>82623500-4/IDEAL S.A</t>
        </is>
      </c>
      <c r="I109" s="4" t="n">
        <v>1</v>
      </c>
      <c r="J109" s="5" t="inlineStr">
        <is>
          <t>EL PINAR</t>
        </is>
      </c>
      <c r="K109" s="4" t="n">
        <v>1076</v>
      </c>
    </row>
    <row r="110">
      <c r="A110" s="2">
        <f>"119264"</f>
        <v/>
      </c>
      <c r="B110" s="2" t="inlineStr">
        <is>
          <t>HKOOB37058525</t>
        </is>
      </c>
      <c r="C110" s="2" t="inlineStr">
        <is>
          <t>15/05/2026</t>
        </is>
      </c>
      <c r="D110" s="2" t="inlineStr">
        <is>
          <t>18:48:56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TEMUCO</t>
        </is>
      </c>
      <c r="K110" s="2" t="n">
        <v>1832</v>
      </c>
    </row>
    <row r="111">
      <c r="A111" s="4">
        <f>"119265"</f>
        <v/>
      </c>
      <c r="B111" s="4" t="inlineStr">
        <is>
          <t>HKOOB37058750</t>
        </is>
      </c>
      <c r="C111" s="4" t="inlineStr">
        <is>
          <t>15/05/2026</t>
        </is>
      </c>
      <c r="D111" s="4" t="inlineStr">
        <is>
          <t>19:42:56</t>
        </is>
      </c>
      <c r="E111" s="4" t="inlineStr">
        <is>
          <t>mayo</t>
        </is>
      </c>
      <c r="F111" s="4" t="n">
        <v>2026</v>
      </c>
      <c r="G111" s="5" t="inlineStr">
        <is>
          <t>VINA DEL MAR</t>
        </is>
      </c>
      <c r="H111" s="5" t="inlineStr">
        <is>
          <t>16575553-7/GABRIEL ALEJANDRO ESTAY CARRAZANA</t>
        </is>
      </c>
      <c r="I111" s="4" t="n">
        <v>1</v>
      </c>
      <c r="J111" s="5" t="inlineStr">
        <is>
          <t>VINA DEL MAR</t>
        </is>
      </c>
      <c r="K111" s="4" t="n">
        <v>1766</v>
      </c>
    </row>
    <row r="112">
      <c r="A112" s="2">
        <f>"119266"</f>
        <v/>
      </c>
      <c r="B112" s="2" t="inlineStr">
        <is>
          <t>HKOOB37058751</t>
        </is>
      </c>
      <c r="C112" s="2" t="inlineStr">
        <is>
          <t>15/05/2026</t>
        </is>
      </c>
      <c r="D112" s="2" t="inlineStr">
        <is>
          <t>20:21:50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1669</v>
      </c>
    </row>
    <row r="113">
      <c r="A113" s="4">
        <f>"119267"</f>
        <v/>
      </c>
      <c r="B113" s="4" t="inlineStr">
        <is>
          <t>HKOOB37058560</t>
        </is>
      </c>
      <c r="C113" s="4" t="inlineStr">
        <is>
          <t>15/05/2026</t>
        </is>
      </c>
      <c r="D113" s="4" t="inlineStr">
        <is>
          <t>21:08:49</t>
        </is>
      </c>
      <c r="E113" s="4" t="inlineStr">
        <is>
          <t>mayo</t>
        </is>
      </c>
      <c r="F113" s="4" t="n">
        <v>2026</v>
      </c>
      <c r="G113" s="5" t="inlineStr">
        <is>
          <t>CHILLAN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CHILLAN</t>
        </is>
      </c>
      <c r="K113" s="4" t="n">
        <v>1866</v>
      </c>
    </row>
    <row r="114">
      <c r="A114" s="2">
        <f>"119268"</f>
        <v/>
      </c>
      <c r="B114" s="2" t="inlineStr">
        <is>
          <t>HKOOB37058540</t>
        </is>
      </c>
      <c r="C114" s="2" t="inlineStr">
        <is>
          <t>15/05/2026</t>
        </is>
      </c>
      <c r="D114" s="2" t="inlineStr">
        <is>
          <t>21:39:54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2040</v>
      </c>
    </row>
    <row r="115">
      <c r="A115" s="4">
        <f>"119269"</f>
        <v/>
      </c>
      <c r="B115" s="4" t="inlineStr">
        <is>
          <t>HKOOB37058564</t>
        </is>
      </c>
      <c r="C115" s="4" t="inlineStr">
        <is>
          <t>15/05/2026</t>
        </is>
      </c>
      <c r="D115" s="4" t="inlineStr">
        <is>
          <t>22:24:01</t>
        </is>
      </c>
      <c r="E115" s="4" t="inlineStr">
        <is>
          <t>mayo</t>
        </is>
      </c>
      <c r="F115" s="4" t="n">
        <v>2026</v>
      </c>
      <c r="G115" s="5" t="inlineStr">
        <is>
          <t>TALCA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TALCA</t>
        </is>
      </c>
      <c r="K115" s="4" t="n">
        <v>1684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22:52:47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82623500-4/IDEAL S.A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23:14:50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82623500-4/IDEAL S.A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23:27:42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00:34:55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01:50:59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82623500-4/IDEAL S.A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03:06:50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82623500-4/IDEAL S.A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03:50:32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82623500-4/IDEAL S.A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04:28:14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05:04:58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05:54:55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06:29:19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08:10:52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09:02:26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09:20:00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09:48:12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82623500-4/IDEAL S.A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"38613"</f>
        <v/>
      </c>
      <c r="B131" s="4" t="inlineStr">
        <is>
          <t>HKOOB37036931</t>
        </is>
      </c>
      <c r="C131" s="4" t="inlineStr">
        <is>
          <t>16/05/2026</t>
        </is>
      </c>
      <c r="D131" s="4" t="inlineStr">
        <is>
          <t>10:34:02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82623500-4/IDEAL S.A</t>
        </is>
      </c>
      <c r="I131" s="4" t="n">
        <v>1</v>
      </c>
      <c r="J131" s="5" t="inlineStr">
        <is>
          <t>LO ESPEJO</t>
        </is>
      </c>
      <c r="K131" s="4" t="n">
        <v>14</v>
      </c>
    </row>
    <row r="132">
      <c r="A132" s="2">
        <f>"119279"</f>
        <v/>
      </c>
      <c r="B132" s="2" t="inlineStr">
        <is>
          <t>HKOOB37063909</t>
        </is>
      </c>
      <c r="C132" s="2" t="inlineStr">
        <is>
          <t>16/05/2026</t>
        </is>
      </c>
      <c r="D132" s="2" t="inlineStr">
        <is>
          <t>11:17:05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1732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11:39:55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11:55:17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12:22:54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14:45:09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15:41:36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16:11:15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82623500-4/IDEAL S.A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17:06:40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18:22:41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82623500-4/IDEAL S.A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19:18:19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21:41:05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22:58:46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17/05/2026</t>
        </is>
      </c>
      <c r="D144" s="2" t="inlineStr">
        <is>
          <t>00:05:40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00:24:33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00:49:36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82623500-4/IDEAL S.A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01:04:26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01:41:14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82623500-4/IDEAL S.A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01:59:21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02:48:13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82623500-4/IDEAL S.A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03:34:51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03:47:10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82623500-4/IDEAL S.A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04:15:38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04:36:15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04:58:16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05:10:01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06:10:12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09:19:33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82623500-4/IDEAL S.A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13:01:41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14:41:22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15:18:59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82623500-4/IDEAL S.A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15:30:53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16:57:31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18:59:29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19:07:07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19:37:31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19:46:23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20:16:05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20:42:28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20:56:58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82623500-4/IDEAL S.A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21:17:59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23:18:16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82623500-4/IDEAL S.A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"38809"</f>
        <v/>
      </c>
      <c r="B173" s="4" t="inlineStr">
        <is>
          <t>HKOOB37067760</t>
        </is>
      </c>
      <c r="C173" s="4" t="inlineStr">
        <is>
          <t>18/05/2026</t>
        </is>
      </c>
      <c r="D173" s="4" t="inlineStr">
        <is>
          <t>23:46:42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inlineStr">
        <is>
          <t>82623500-4/IDEAL S.A</t>
        </is>
      </c>
      <c r="I173" s="4" t="n">
        <v>1</v>
      </c>
      <c r="J173" s="5" t="inlineStr">
        <is>
          <t>LO ESPEJO</t>
        </is>
      </c>
      <c r="K173" s="4" t="n">
        <v>1066</v>
      </c>
    </row>
    <row r="174">
      <c r="A174" s="2">
        <f>"38811"</f>
        <v/>
      </c>
      <c r="B174" s="2" t="inlineStr">
        <is>
          <t>HKOOB37067767</t>
        </is>
      </c>
      <c r="C174" s="2" t="inlineStr">
        <is>
          <t>19/05/2026</t>
        </is>
      </c>
      <c r="D174" s="2" t="inlineStr">
        <is>
          <t>00:04:55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82623500-4/IDEAL S.A</t>
        </is>
      </c>
      <c r="I174" s="2" t="n">
        <v>1</v>
      </c>
      <c r="J174" s="3" t="inlineStr">
        <is>
          <t>EL PINAR</t>
        </is>
      </c>
      <c r="K174" s="2" t="n">
        <v>1034</v>
      </c>
    </row>
    <row r="175">
      <c r="A175" s="4">
        <f>"119319"</f>
        <v/>
      </c>
      <c r="B175" s="4" t="inlineStr">
        <is>
          <t>HKOOB37067770</t>
        </is>
      </c>
      <c r="C175" s="4" t="inlineStr">
        <is>
          <t>19/05/2026</t>
        </is>
      </c>
      <c r="D175" s="4" t="inlineStr">
        <is>
          <t>02:10:51</t>
        </is>
      </c>
      <c r="E175" s="4" t="inlineStr">
        <is>
          <t>mayo</t>
        </is>
      </c>
      <c r="F175" s="4" t="n">
        <v>2026</v>
      </c>
      <c r="G175" s="5" t="inlineStr">
        <is>
          <t>VINA DEL MAR</t>
        </is>
      </c>
      <c r="H175" s="5" t="inlineStr">
        <is>
          <t>82623500-4/IDEAL S.A</t>
        </is>
      </c>
      <c r="I175" s="4" t="n">
        <v>1</v>
      </c>
      <c r="J175" s="5" t="inlineStr">
        <is>
          <t>VINA DEL MAR</t>
        </is>
      </c>
      <c r="K175" s="4" t="n">
        <v>1687</v>
      </c>
    </row>
    <row r="176">
      <c r="A176" s="2">
        <f>"38822"</f>
        <v/>
      </c>
      <c r="B176" s="2" t="inlineStr">
        <is>
          <t>HKOOB37067768</t>
        </is>
      </c>
      <c r="C176" s="2" t="inlineStr">
        <is>
          <t>19/05/2026</t>
        </is>
      </c>
      <c r="D176" s="2" t="inlineStr">
        <is>
          <t>02:45:48</t>
        </is>
      </c>
      <c r="E176" s="2" t="inlineStr">
        <is>
          <t>mayo</t>
        </is>
      </c>
      <c r="F176" s="2" t="n">
        <v>2026</v>
      </c>
      <c r="G176" s="3" t="inlineStr">
        <is>
          <t>EL PINAR</t>
        </is>
      </c>
      <c r="H176" s="3" t="inlineStr">
        <is>
          <t>82623500-4/IDEAL S.A</t>
        </is>
      </c>
      <c r="I176" s="2" t="n">
        <v>1</v>
      </c>
      <c r="J176" s="3" t="inlineStr">
        <is>
          <t>EL PINAR</t>
        </is>
      </c>
      <c r="K176" s="2" t="n">
        <v>1341</v>
      </c>
    </row>
    <row r="177">
      <c r="A177" s="4">
        <f>"38824"</f>
        <v/>
      </c>
      <c r="B177" s="4" t="inlineStr">
        <is>
          <t>HKOOB37067761</t>
        </is>
      </c>
      <c r="C177" s="4" t="inlineStr">
        <is>
          <t>19/05/2026</t>
        </is>
      </c>
      <c r="D177" s="4" t="inlineStr">
        <is>
          <t>02:55:25</t>
        </is>
      </c>
      <c r="E177" s="4" t="inlineStr">
        <is>
          <t>mayo</t>
        </is>
      </c>
      <c r="F177" s="4" t="n">
        <v>2026</v>
      </c>
      <c r="G177" s="5" t="inlineStr">
        <is>
          <t>LO ESPEJO</t>
        </is>
      </c>
      <c r="H177" s="5" t="inlineStr">
        <is>
          <t>82623500-4/IDEAL S.A</t>
        </is>
      </c>
      <c r="I177" s="4" t="n">
        <v>1</v>
      </c>
      <c r="J177" s="5" t="inlineStr">
        <is>
          <t>LO ESPEJO</t>
        </is>
      </c>
      <c r="K177" s="4" t="n">
        <v>1637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03:44:24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"38829"</f>
        <v/>
      </c>
      <c r="B179" s="4" t="inlineStr">
        <is>
          <t>HKOOB37067762</t>
        </is>
      </c>
      <c r="C179" s="4" t="inlineStr">
        <is>
          <t>19/05/2026</t>
        </is>
      </c>
      <c r="D179" s="4" t="inlineStr">
        <is>
          <t>04:06:27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82623500-4/IDEAL S.A</t>
        </is>
      </c>
      <c r="I179" s="4" t="n">
        <v>1</v>
      </c>
      <c r="J179" s="5" t="inlineStr">
        <is>
          <t>LO ESPEJO</t>
        </is>
      </c>
      <c r="K179" s="4" t="n">
        <v>1565</v>
      </c>
    </row>
    <row r="180">
      <c r="A180" s="2">
        <f>"119321"</f>
        <v/>
      </c>
      <c r="B180" s="2" t="inlineStr">
        <is>
          <t>HKOOB37075697</t>
        </is>
      </c>
      <c r="C180" s="2" t="inlineStr">
        <is>
          <t>19/05/2026</t>
        </is>
      </c>
      <c r="D180" s="2" t="inlineStr">
        <is>
          <t>04:21:46</t>
        </is>
      </c>
      <c r="E180" s="2" t="inlineStr">
        <is>
          <t>mayo</t>
        </is>
      </c>
      <c r="F180" s="2" t="n">
        <v>2026</v>
      </c>
      <c r="G180" s="3" t="inlineStr">
        <is>
          <t>VINA DEL MAR</t>
        </is>
      </c>
      <c r="H180" s="3" t="inlineStr">
        <is>
          <t>16575553-7/GABRIEL ALEJANDRO ESTAY CARRAZANA</t>
        </is>
      </c>
      <c r="I180" s="2" t="n">
        <v>1</v>
      </c>
      <c r="J180" s="3" t="inlineStr">
        <is>
          <t>VINA DEL MAR</t>
        </is>
      </c>
      <c r="K180" s="2" t="n">
        <v>1559</v>
      </c>
    </row>
    <row r="181">
      <c r="A181" s="4">
        <f>"119322"</f>
        <v/>
      </c>
      <c r="B181" s="4" t="inlineStr">
        <is>
          <t>CHKO374068</t>
        </is>
      </c>
      <c r="C181" s="4" t="inlineStr">
        <is>
          <t>19/05/2026</t>
        </is>
      </c>
      <c r="D181" s="4" t="inlineStr">
        <is>
          <t>04:39:54</t>
        </is>
      </c>
      <c r="E181" s="4" t="inlineStr">
        <is>
          <t>mayo</t>
        </is>
      </c>
      <c r="F181" s="4" t="n">
        <v>2026</v>
      </c>
      <c r="G181" s="5" t="inlineStr">
        <is>
          <t>TEMUCO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TEMUCO</t>
        </is>
      </c>
      <c r="K181" s="4" t="n">
        <v>1418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05:53:59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"119324"</f>
        <v/>
      </c>
      <c r="B183" s="4" t="inlineStr">
        <is>
          <t>HKOOB37075207</t>
        </is>
      </c>
      <c r="C183" s="4" t="inlineStr">
        <is>
          <t>19/05/2026</t>
        </is>
      </c>
      <c r="D183" s="4" t="inlineStr">
        <is>
          <t>06:08:20</t>
        </is>
      </c>
      <c r="E183" s="4" t="inlineStr">
        <is>
          <t>mayo</t>
        </is>
      </c>
      <c r="F183" s="4" t="n">
        <v>2026</v>
      </c>
      <c r="G183" s="5" t="inlineStr">
        <is>
          <t>RANCAGUA</t>
        </is>
      </c>
      <c r="H183" s="5" t="inlineStr">
        <is>
          <t>76252773-1/GARATE Y GARATE LIMITADA</t>
        </is>
      </c>
      <c r="I183" s="4" t="n">
        <v>1</v>
      </c>
      <c r="J183" s="5" t="inlineStr">
        <is>
          <t>RANCAGUA</t>
        </is>
      </c>
      <c r="K183" s="4" t="n">
        <v>1637</v>
      </c>
    </row>
    <row r="184">
      <c r="A184" s="2">
        <f>"119325"</f>
        <v/>
      </c>
      <c r="B184" s="2" t="inlineStr">
        <is>
          <t>HKOOB37075220</t>
        </is>
      </c>
      <c r="C184" s="2" t="inlineStr">
        <is>
          <t>19/05/2026</t>
        </is>
      </c>
      <c r="D184" s="2" t="inlineStr">
        <is>
          <t>06:30:38</t>
        </is>
      </c>
      <c r="E184" s="2" t="inlineStr">
        <is>
          <t>mayo</t>
        </is>
      </c>
      <c r="F184" s="2" t="n">
        <v>2026</v>
      </c>
      <c r="G184" s="3" t="inlineStr">
        <is>
          <t>MELIPILLA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MELIPILLA</t>
        </is>
      </c>
      <c r="K184" s="2" t="n">
        <v>1729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08:53:35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"119327"</f>
        <v/>
      </c>
      <c r="B186" s="2" t="inlineStr">
        <is>
          <t>HKOOB37066345</t>
        </is>
      </c>
      <c r="C186" s="2" t="inlineStr">
        <is>
          <t>19/05/2026</t>
        </is>
      </c>
      <c r="D186" s="2" t="inlineStr">
        <is>
          <t>09:12:44</t>
        </is>
      </c>
      <c r="E186" s="2" t="inlineStr">
        <is>
          <t>mayo</t>
        </is>
      </c>
      <c r="F186" s="2" t="n">
        <v>2026</v>
      </c>
      <c r="G186" s="3" t="inlineStr">
        <is>
          <t>PTO MONTT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PTO MONTT</t>
        </is>
      </c>
      <c r="K186" s="2" t="n">
        <v>1716</v>
      </c>
    </row>
    <row r="187">
      <c r="A187" s="4">
        <f>"119328"</f>
        <v/>
      </c>
      <c r="B187" s="4" t="inlineStr">
        <is>
          <t>HKOOB37077210</t>
        </is>
      </c>
      <c r="C187" s="4" t="inlineStr">
        <is>
          <t>19/05/2026</t>
        </is>
      </c>
      <c r="D187" s="4" t="inlineStr">
        <is>
          <t>09:35:32</t>
        </is>
      </c>
      <c r="E187" s="4" t="inlineStr">
        <is>
          <t>mayo</t>
        </is>
      </c>
      <c r="F187" s="4" t="n">
        <v>2026</v>
      </c>
      <c r="G187" s="5" t="inlineStr">
        <is>
          <t>IQUIQUE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IQUIQUE</t>
        </is>
      </c>
      <c r="K187" s="4" t="n">
        <v>1855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10:17:03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82623500-4/IDEAL S.A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10:39:54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"38883"</f>
        <v/>
      </c>
      <c r="B190" s="2" t="inlineStr">
        <is>
          <t>HKOOB37067764</t>
        </is>
      </c>
      <c r="C190" s="2" t="inlineStr">
        <is>
          <t>19/05/2026</t>
        </is>
      </c>
      <c r="D190" s="2" t="inlineStr">
        <is>
          <t>11:33:22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82623500-4/IDEAL S.A</t>
        </is>
      </c>
      <c r="I190" s="2" t="n">
        <v>1</v>
      </c>
      <c r="J190" s="3" t="inlineStr">
        <is>
          <t>LO ESPEJO</t>
        </is>
      </c>
      <c r="K190" s="2" t="n">
        <v>1112</v>
      </c>
    </row>
    <row r="191">
      <c r="A191" s="4">
        <f>"119330"</f>
        <v/>
      </c>
      <c r="B191" s="4" t="inlineStr">
        <is>
          <t>HKOOB37075216</t>
        </is>
      </c>
      <c r="C191" s="4" t="inlineStr">
        <is>
          <t>19/05/2026</t>
        </is>
      </c>
      <c r="D191" s="4" t="inlineStr">
        <is>
          <t>11:56:25</t>
        </is>
      </c>
      <c r="E191" s="4" t="inlineStr">
        <is>
          <t>mayo</t>
        </is>
      </c>
      <c r="F191" s="4" t="n">
        <v>2026</v>
      </c>
      <c r="G191" s="5" t="inlineStr">
        <is>
          <t>LOS ANGELES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LOS ANGELES</t>
        </is>
      </c>
      <c r="K191" s="4" t="n">
        <v>1805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12:45:56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82623500-4/IDEAL S.A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15:05:54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15:25:20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17:01:44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17:13:59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82623500-4/IDEAL S.A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"119334"</f>
        <v/>
      </c>
      <c r="B197" s="4" t="inlineStr">
        <is>
          <t>HKOOB37075210</t>
        </is>
      </c>
      <c r="C197" s="4" t="inlineStr">
        <is>
          <t>19/05/2026</t>
        </is>
      </c>
      <c r="D197" s="4" t="inlineStr">
        <is>
          <t>18:26:25</t>
        </is>
      </c>
      <c r="E197" s="4" t="inlineStr">
        <is>
          <t>mayo</t>
        </is>
      </c>
      <c r="F197" s="4" t="n">
        <v>2026</v>
      </c>
      <c r="G197" s="5" t="inlineStr">
        <is>
          <t>CONCEPCION</t>
        </is>
      </c>
      <c r="H197" s="5" t="inlineStr">
        <is>
          <t>76746317-0/TRAILER LOGISTICS SPA</t>
        </is>
      </c>
      <c r="I197" s="4" t="n">
        <v>1</v>
      </c>
      <c r="J197" s="5" t="inlineStr">
        <is>
          <t>CONCEPCION</t>
        </is>
      </c>
      <c r="K197" s="4" t="n">
        <v>2113</v>
      </c>
    </row>
    <row r="198">
      <c r="A198" s="2">
        <f>"38923"</f>
        <v/>
      </c>
      <c r="B198" s="2" t="inlineStr">
        <is>
          <t>HKOOB37075690</t>
        </is>
      </c>
      <c r="C198" s="2" t="inlineStr">
        <is>
          <t>19/05/2026</t>
        </is>
      </c>
      <c r="D198" s="2" t="inlineStr">
        <is>
          <t>18:37:11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82623500-4/IDEAL S.A</t>
        </is>
      </c>
      <c r="I198" s="2" t="n">
        <v>1</v>
      </c>
      <c r="J198" s="3" t="inlineStr">
        <is>
          <t>LO ESPEJO</t>
        </is>
      </c>
      <c r="K198" s="2" t="n">
        <v>1111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19:32:04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19:42:25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82623500-4/IDEAL S.A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19:51:10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82623500-4/IDEAL S.A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"119337"</f>
        <v/>
      </c>
      <c r="B202" s="2" t="inlineStr">
        <is>
          <t>HKOOB37077851</t>
        </is>
      </c>
      <c r="C202" s="2" t="inlineStr">
        <is>
          <t>19/05/2026</t>
        </is>
      </c>
      <c r="D202" s="2" t="inlineStr">
        <is>
          <t>20:38:45</t>
        </is>
      </c>
      <c r="E202" s="2" t="inlineStr">
        <is>
          <t>mayo</t>
        </is>
      </c>
      <c r="F202" s="2" t="n">
        <v>2026</v>
      </c>
      <c r="G202" s="3" t="inlineStr">
        <is>
          <t>SAN FERNANDO</t>
        </is>
      </c>
      <c r="H202" s="3" t="inlineStr">
        <is>
          <t>76252773-1/GARATE Y GARATE LIMITADA</t>
        </is>
      </c>
      <c r="I202" s="2" t="n">
        <v>1</v>
      </c>
      <c r="J202" s="3" t="inlineStr">
        <is>
          <t>SAN FERNANDO</t>
        </is>
      </c>
      <c r="K202" s="2" t="n">
        <v>557</v>
      </c>
    </row>
    <row r="203">
      <c r="A203" s="4">
        <f>"119336"</f>
        <v/>
      </c>
      <c r="B203" s="4" t="inlineStr">
        <is>
          <t>HKOOB37075214</t>
        </is>
      </c>
      <c r="C203" s="4" t="inlineStr">
        <is>
          <t>19/05/2026</t>
        </is>
      </c>
      <c r="D203" s="4" t="inlineStr">
        <is>
          <t>20:50:48</t>
        </is>
      </c>
      <c r="E203" s="4" t="inlineStr">
        <is>
          <t>mayo</t>
        </is>
      </c>
      <c r="F203" s="4" t="n">
        <v>2026</v>
      </c>
      <c r="G203" s="5" t="inlineStr">
        <is>
          <t>CHILLAN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CHILLAN</t>
        </is>
      </c>
      <c r="K203" s="4" t="n">
        <v>1738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21:52:46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82623500-4/IDEAL S.A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20/05/2026</t>
        </is>
      </c>
      <c r="D205" s="4" t="inlineStr">
        <is>
          <t>00:35:28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"38967"</f>
        <v/>
      </c>
      <c r="B206" s="2" t="inlineStr">
        <is>
          <t>HKOOB37084225</t>
        </is>
      </c>
      <c r="C206" s="2" t="inlineStr">
        <is>
          <t>20/05/2026</t>
        </is>
      </c>
      <c r="D206" s="2" t="inlineStr">
        <is>
          <t>01:56:31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2" t="n">
        <v>1</v>
      </c>
      <c r="J206" s="3" t="inlineStr">
        <is>
          <t>LO ESPEJO</t>
        </is>
      </c>
      <c r="K206" s="2" t="n">
        <v>1146</v>
      </c>
    </row>
    <row r="207">
      <c r="A207" s="4">
        <f>"119340"</f>
        <v/>
      </c>
      <c r="B207" s="4" t="inlineStr">
        <is>
          <t>HKOOB37081601</t>
        </is>
      </c>
      <c r="C207" s="4" t="inlineStr">
        <is>
          <t>20/05/2026</t>
        </is>
      </c>
      <c r="D207" s="4" t="inlineStr">
        <is>
          <t>02:25:31</t>
        </is>
      </c>
      <c r="E207" s="4" t="inlineStr">
        <is>
          <t>mayo</t>
        </is>
      </c>
      <c r="F207" s="4" t="n">
        <v>2026</v>
      </c>
      <c r="G207" s="5" t="inlineStr">
        <is>
          <t>TEMUCO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TEMUCO</t>
        </is>
      </c>
      <c r="K207" s="4" t="n">
        <v>1671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04:02:19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04:26:47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82623500-4/IDEAL S.A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"119344"</f>
        <v/>
      </c>
      <c r="B210" s="2" t="inlineStr">
        <is>
          <t>HKOOB37084328</t>
        </is>
      </c>
      <c r="C210" s="2" t="inlineStr">
        <is>
          <t>20/05/2026</t>
        </is>
      </c>
      <c r="D210" s="2" t="inlineStr">
        <is>
          <t>04:43:37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2" t="n">
        <v>1</v>
      </c>
      <c r="J210" s="3" t="inlineStr">
        <is>
          <t>VINA DEL MAR</t>
        </is>
      </c>
      <c r="K210" s="2" t="n">
        <v>1440</v>
      </c>
    </row>
    <row r="211">
      <c r="A211" s="4">
        <f>"119345"</f>
        <v/>
      </c>
      <c r="B211" s="4" t="inlineStr">
        <is>
          <t>HKOOB37081590</t>
        </is>
      </c>
      <c r="C211" s="4" t="inlineStr">
        <is>
          <t>20/05/2026</t>
        </is>
      </c>
      <c r="D211" s="4" t="inlineStr">
        <is>
          <t>05:28:37</t>
        </is>
      </c>
      <c r="E211" s="4" t="inlineStr">
        <is>
          <t>mayo</t>
        </is>
      </c>
      <c r="F211" s="4" t="n">
        <v>2026</v>
      </c>
      <c r="G211" s="5" t="inlineStr">
        <is>
          <t>MELIPILLA</t>
        </is>
      </c>
      <c r="H211" s="5" t="inlineStr">
        <is>
          <t>77970090-9/TRANSPORTES DONA ISIDORA (LABBE)</t>
        </is>
      </c>
      <c r="I211" s="4" t="n">
        <v>1</v>
      </c>
      <c r="J211" s="5" t="inlineStr">
        <is>
          <t>MELIPILLA</t>
        </is>
      </c>
      <c r="K211" s="4" t="n">
        <v>1787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05:46:39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82623500-4/IDEAL S.A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"119347"</f>
        <v/>
      </c>
      <c r="B213" s="4" t="inlineStr">
        <is>
          <t>HKOOB37084365</t>
        </is>
      </c>
      <c r="C213" s="4" t="inlineStr">
        <is>
          <t>20/05/2026</t>
        </is>
      </c>
      <c r="D213" s="4" t="inlineStr">
        <is>
          <t>06:05:05</t>
        </is>
      </c>
      <c r="E213" s="4" t="inlineStr">
        <is>
          <t>mayo</t>
        </is>
      </c>
      <c r="F213" s="4" t="n">
        <v>2026</v>
      </c>
      <c r="G213" s="5" t="inlineStr">
        <is>
          <t>RANCAGUA</t>
        </is>
      </c>
      <c r="H213" s="5" t="inlineStr">
        <is>
          <t>76252773-1/GARATE Y GARATE LIMITADA</t>
        </is>
      </c>
      <c r="I213" s="4" t="n">
        <v>1</v>
      </c>
      <c r="J213" s="5" t="inlineStr">
        <is>
          <t>RANCAGUA</t>
        </is>
      </c>
      <c r="K213" s="4" t="n">
        <v>1622</v>
      </c>
    </row>
    <row r="214">
      <c r="A214" s="2">
        <f>"119348"</f>
        <v/>
      </c>
      <c r="B214" s="2" t="inlineStr">
        <is>
          <t>HKOOB37081615</t>
        </is>
      </c>
      <c r="C214" s="2" t="inlineStr">
        <is>
          <t>20/05/2026</t>
        </is>
      </c>
      <c r="D214" s="2" t="inlineStr">
        <is>
          <t>06:40:39</t>
        </is>
      </c>
      <c r="E214" s="2" t="inlineStr">
        <is>
          <t>mayo</t>
        </is>
      </c>
      <c r="F214" s="2" t="n">
        <v>2026</v>
      </c>
      <c r="G214" s="3" t="inlineStr">
        <is>
          <t>OSORNO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OSORNO</t>
        </is>
      </c>
      <c r="K214" s="2" t="n">
        <v>1687</v>
      </c>
    </row>
    <row r="215">
      <c r="A215" s="4">
        <f>"119349"</f>
        <v/>
      </c>
      <c r="B215" s="4" t="inlineStr">
        <is>
          <t>HKOOB37081612</t>
        </is>
      </c>
      <c r="C215" s="4" t="inlineStr">
        <is>
          <t>20/05/2026</t>
        </is>
      </c>
      <c r="D215" s="4" t="inlineStr">
        <is>
          <t>06:54:18</t>
        </is>
      </c>
      <c r="E215" s="4" t="inlineStr">
        <is>
          <t>mayo</t>
        </is>
      </c>
      <c r="F215" s="4" t="n">
        <v>2026</v>
      </c>
      <c r="G215" s="5" t="inlineStr">
        <is>
          <t>VALDIVIA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VALDIVIA</t>
        </is>
      </c>
      <c r="K215" s="4" t="n">
        <v>2019</v>
      </c>
    </row>
    <row r="216">
      <c r="A216" s="2">
        <f>"119350"</f>
        <v/>
      </c>
      <c r="B216" s="2" t="inlineStr">
        <is>
          <t>HKOOB37081599</t>
        </is>
      </c>
      <c r="C216" s="2" t="inlineStr">
        <is>
          <t>20/05/2026</t>
        </is>
      </c>
      <c r="D216" s="2" t="inlineStr">
        <is>
          <t>08:31:59</t>
        </is>
      </c>
      <c r="E216" s="2" t="inlineStr">
        <is>
          <t>mayo</t>
        </is>
      </c>
      <c r="F216" s="2" t="n">
        <v>2026</v>
      </c>
      <c r="G216" s="3" t="inlineStr">
        <is>
          <t>LOS ANGELES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LOS ANGELES</t>
        </is>
      </c>
      <c r="K216" s="2" t="n">
        <v>1483</v>
      </c>
    </row>
    <row r="217">
      <c r="A217" s="4">
        <f>"39011"</f>
        <v/>
      </c>
      <c r="B217" s="4" t="inlineStr">
        <is>
          <t>HKOOB37084226</t>
        </is>
      </c>
      <c r="C217" s="4" t="inlineStr">
        <is>
          <t>20/05/2026</t>
        </is>
      </c>
      <c r="D217" s="4" t="inlineStr">
        <is>
          <t>08:58:25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82623500-4/IDEAL S.A</t>
        </is>
      </c>
      <c r="I217" s="4" t="n">
        <v>1</v>
      </c>
      <c r="J217" s="5" t="inlineStr">
        <is>
          <t>LO ESPEJO</t>
        </is>
      </c>
      <c r="K217" s="4" t="n">
        <v>1308</v>
      </c>
    </row>
    <row r="218">
      <c r="A218" s="2">
        <f>"119351"</f>
        <v/>
      </c>
      <c r="B218" s="2" t="inlineStr">
        <is>
          <t>HKOOB37084361</t>
        </is>
      </c>
      <c r="C218" s="2" t="inlineStr">
        <is>
          <t>20/05/2026</t>
        </is>
      </c>
      <c r="D218" s="2" t="inlineStr">
        <is>
          <t>10:25:20</t>
        </is>
      </c>
      <c r="E218" s="2" t="inlineStr">
        <is>
          <t>mayo</t>
        </is>
      </c>
      <c r="F218" s="2" t="n">
        <v>2026</v>
      </c>
      <c r="G218" s="3" t="inlineStr">
        <is>
          <t>ANTOFAGASTA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ANTOFAGASTA</t>
        </is>
      </c>
      <c r="K218" s="2" t="n">
        <v>1844</v>
      </c>
    </row>
    <row r="219">
      <c r="A219" s="4">
        <f>"39022"</f>
        <v/>
      </c>
      <c r="B219" s="4" t="inlineStr">
        <is>
          <t>HKOOB37084302</t>
        </is>
      </c>
      <c r="C219" s="4" t="inlineStr">
        <is>
          <t>20/05/2026</t>
        </is>
      </c>
      <c r="D219" s="4" t="inlineStr">
        <is>
          <t>10:41:26</t>
        </is>
      </c>
      <c r="E219" s="4" t="inlineStr">
        <is>
          <t>mayo</t>
        </is>
      </c>
      <c r="F219" s="4" t="n">
        <v>2026</v>
      </c>
      <c r="G219" s="5" t="inlineStr">
        <is>
          <t>EL PINAR</t>
        </is>
      </c>
      <c r="H219" s="5" t="inlineStr">
        <is>
          <t>82623500-4/IDEAL S.A</t>
        </is>
      </c>
      <c r="I219" s="4" t="n">
        <v>1</v>
      </c>
      <c r="J219" s="5" t="inlineStr">
        <is>
          <t>EL PINAR</t>
        </is>
      </c>
      <c r="K219" s="4" t="n">
        <v>1202</v>
      </c>
    </row>
    <row r="220">
      <c r="A220" s="2">
        <f>"39026"</f>
        <v/>
      </c>
      <c r="B220" s="2" t="inlineStr">
        <is>
          <t>HKOOB37084227</t>
        </is>
      </c>
      <c r="C220" s="2" t="inlineStr">
        <is>
          <t>20/05/2026</t>
        </is>
      </c>
      <c r="D220" s="2" t="inlineStr">
        <is>
          <t>11:02:59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82623500-4/IDEAL S.A</t>
        </is>
      </c>
      <c r="I220" s="2" t="n">
        <v>1</v>
      </c>
      <c r="J220" s="3" t="inlineStr">
        <is>
          <t>LO ESPEJO</t>
        </is>
      </c>
      <c r="K220" s="2" t="n">
        <v>1185</v>
      </c>
    </row>
    <row r="221">
      <c r="A221" s="4">
        <f>"119352"</f>
        <v/>
      </c>
      <c r="B221" s="4" t="inlineStr">
        <is>
          <t>HKOOB37081602</t>
        </is>
      </c>
      <c r="C221" s="4" t="inlineStr">
        <is>
          <t>20/05/2026</t>
        </is>
      </c>
      <c r="D221" s="4" t="inlineStr">
        <is>
          <t>12:08:42</t>
        </is>
      </c>
      <c r="E221" s="4" t="inlineStr">
        <is>
          <t>mayo</t>
        </is>
      </c>
      <c r="F221" s="4" t="n">
        <v>2026</v>
      </c>
      <c r="G221" s="5" t="inlineStr">
        <is>
          <t>TEMUCO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TEMUCO</t>
        </is>
      </c>
      <c r="K221" s="4" t="n">
        <v>1631</v>
      </c>
    </row>
    <row r="222">
      <c r="A222" s="2">
        <f>"39039"</f>
        <v/>
      </c>
      <c r="B222" s="2" t="inlineStr">
        <is>
          <t>HKOOB37084228</t>
        </is>
      </c>
      <c r="C222" s="2" t="inlineStr">
        <is>
          <t>20/05/2026</t>
        </is>
      </c>
      <c r="D222" s="2" t="inlineStr">
        <is>
          <t>12:39:30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2" t="n">
        <v>1</v>
      </c>
      <c r="J222" s="3" t="inlineStr">
        <is>
          <t>LO ESPEJO</t>
        </is>
      </c>
      <c r="K222" s="2" t="n">
        <v>1188</v>
      </c>
    </row>
    <row r="223">
      <c r="A223" s="4">
        <f>"119353"</f>
        <v/>
      </c>
      <c r="B223" s="4" t="inlineStr">
        <is>
          <t>HKOOB37081610</t>
        </is>
      </c>
      <c r="C223" s="4" t="inlineStr">
        <is>
          <t>20/05/2026</t>
        </is>
      </c>
      <c r="D223" s="4" t="inlineStr">
        <is>
          <t>12:57:25</t>
        </is>
      </c>
      <c r="E223" s="4" t="inlineStr">
        <is>
          <t>mayo</t>
        </is>
      </c>
      <c r="F223" s="4" t="n">
        <v>2026</v>
      </c>
      <c r="G223" s="5" t="inlineStr">
        <is>
          <t>TALCA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TALCA</t>
        </is>
      </c>
      <c r="K223" s="4" t="n">
        <v>1610</v>
      </c>
    </row>
    <row r="224">
      <c r="A224" s="2">
        <f>"119354"</f>
        <v/>
      </c>
      <c r="B224" s="2" t="inlineStr">
        <is>
          <t>HKOOB37081620</t>
        </is>
      </c>
      <c r="C224" s="2" t="inlineStr">
        <is>
          <t>20/05/2026</t>
        </is>
      </c>
      <c r="D224" s="2" t="inlineStr">
        <is>
          <t>13:28:22</t>
        </is>
      </c>
      <c r="E224" s="2" t="inlineStr">
        <is>
          <t>mayo</t>
        </is>
      </c>
      <c r="F224" s="2" t="n">
        <v>2026</v>
      </c>
      <c r="G224" s="3" t="inlineStr">
        <is>
          <t>COPIAPO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COPIAPO</t>
        </is>
      </c>
      <c r="K224" s="2" t="n">
        <v>1999</v>
      </c>
    </row>
    <row r="225">
      <c r="A225" s="4">
        <f>"39044"</f>
        <v/>
      </c>
      <c r="B225" s="4" t="inlineStr">
        <is>
          <t>HKOOB37084229</t>
        </is>
      </c>
      <c r="C225" s="4" t="inlineStr">
        <is>
          <t>20/05/2026</t>
        </is>
      </c>
      <c r="D225" s="4" t="inlineStr">
        <is>
          <t>13:53:05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82623500-4/IDEAL S.A</t>
        </is>
      </c>
      <c r="I225" s="4" t="n">
        <v>1</v>
      </c>
      <c r="J225" s="5" t="inlineStr">
        <is>
          <t>LO ESPEJO</t>
        </is>
      </c>
      <c r="K225" s="4" t="n">
        <v>1384</v>
      </c>
    </row>
    <row r="226">
      <c r="A226" s="2">
        <f>"119355"</f>
        <v/>
      </c>
      <c r="B226" s="2" t="inlineStr">
        <is>
          <t>HKOOB37084362</t>
        </is>
      </c>
      <c r="C226" s="2" t="inlineStr">
        <is>
          <t>20/05/2026</t>
        </is>
      </c>
      <c r="D226" s="2" t="inlineStr">
        <is>
          <t>16:22:49</t>
        </is>
      </c>
      <c r="E226" s="2" t="inlineStr">
        <is>
          <t>mayo</t>
        </is>
      </c>
      <c r="F226" s="2" t="n">
        <v>2026</v>
      </c>
      <c r="G226" s="3" t="inlineStr">
        <is>
          <t>ANTOFAGASTA</t>
        </is>
      </c>
      <c r="H226" s="3" t="inlineStr">
        <is>
          <t>76746317-0/TRAILER LOGISTICS SPA</t>
        </is>
      </c>
      <c r="I226" s="2" t="n">
        <v>1</v>
      </c>
      <c r="J226" s="3" t="inlineStr">
        <is>
          <t>ANTOFAGASTA</t>
        </is>
      </c>
      <c r="K226" s="2" t="n">
        <v>2073</v>
      </c>
    </row>
    <row r="227">
      <c r="A227" s="4">
        <f>"119313"</f>
        <v/>
      </c>
      <c r="B227" s="4" t="inlineStr">
        <is>
          <t>HKOOB37081606</t>
        </is>
      </c>
      <c r="C227" s="4" t="inlineStr">
        <is>
          <t>20/05/2026</t>
        </is>
      </c>
      <c r="D227" s="4" t="inlineStr">
        <is>
          <t>17:18:27</t>
        </is>
      </c>
      <c r="E227" s="4" t="inlineStr">
        <is>
          <t>mayo</t>
        </is>
      </c>
      <c r="F227" s="4" t="n">
        <v>2026</v>
      </c>
      <c r="G227" s="5" t="inlineStr">
        <is>
          <t>LA SERENA</t>
        </is>
      </c>
      <c r="H227" s="5" t="inlineStr">
        <is>
          <t>16575553-7/GABRIEL ALEJANDRO ESTAY CARRAZANA</t>
        </is>
      </c>
      <c r="I227" s="4" t="n">
        <v>1</v>
      </c>
      <c r="J227" s="5" t="inlineStr">
        <is>
          <t>LA SERENA</t>
        </is>
      </c>
      <c r="K227" s="4" t="n">
        <v>1879</v>
      </c>
    </row>
    <row r="228">
      <c r="A228" s="2">
        <f>"39055"</f>
        <v/>
      </c>
      <c r="B228" s="2" t="inlineStr">
        <is>
          <t>HKOOB37075692</t>
        </is>
      </c>
      <c r="C228" s="2" t="inlineStr">
        <is>
          <t>20/05/2026</t>
        </is>
      </c>
      <c r="D228" s="2" t="inlineStr">
        <is>
          <t>17:30:33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82623500-4/IDEAL S.A</t>
        </is>
      </c>
      <c r="I228" s="2" t="n">
        <v>1</v>
      </c>
      <c r="J228" s="3" t="inlineStr">
        <is>
          <t>LO ESPEJO</t>
        </is>
      </c>
      <c r="K228" s="2" t="n">
        <v>1440</v>
      </c>
    </row>
    <row r="229">
      <c r="A229" s="4">
        <f>"119356"</f>
        <v/>
      </c>
      <c r="B229" s="4" t="inlineStr">
        <is>
          <t>HKOOB37081605</t>
        </is>
      </c>
      <c r="C229" s="4" t="inlineStr">
        <is>
          <t>20/05/2026</t>
        </is>
      </c>
      <c r="D229" s="4" t="inlineStr">
        <is>
          <t>17:41:15</t>
        </is>
      </c>
      <c r="E229" s="4" t="inlineStr">
        <is>
          <t>mayo</t>
        </is>
      </c>
      <c r="F229" s="4" t="n">
        <v>2026</v>
      </c>
      <c r="G229" s="5" t="inlineStr">
        <is>
          <t>CONCEPCION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CONCEPCION</t>
        </is>
      </c>
      <c r="K229" s="4" t="n">
        <v>1684</v>
      </c>
    </row>
    <row r="230">
      <c r="A230" s="2">
        <f>"39058"</f>
        <v/>
      </c>
      <c r="B230" s="2" t="inlineStr">
        <is>
          <t>HKOOB37075693</t>
        </is>
      </c>
      <c r="C230" s="2" t="inlineStr">
        <is>
          <t>20/05/2026</t>
        </is>
      </c>
      <c r="D230" s="2" t="inlineStr">
        <is>
          <t>18:19:07</t>
        </is>
      </c>
      <c r="E230" s="2" t="inlineStr">
        <is>
          <t>mayo</t>
        </is>
      </c>
      <c r="F230" s="2" t="n">
        <v>2026</v>
      </c>
      <c r="G230" s="3" t="inlineStr">
        <is>
          <t>LO ESPEJO</t>
        </is>
      </c>
      <c r="H230" s="3" t="inlineStr">
        <is>
          <t>82623500-4/IDEAL S.A</t>
        </is>
      </c>
      <c r="I230" s="2" t="n">
        <v>1</v>
      </c>
      <c r="J230" s="3" t="inlineStr">
        <is>
          <t>LO ESPEJO</t>
        </is>
      </c>
      <c r="K230" s="2" t="n">
        <v>1229</v>
      </c>
    </row>
    <row r="231">
      <c r="A231" s="4">
        <f>"39060"</f>
        <v/>
      </c>
      <c r="B231" s="4" t="inlineStr">
        <is>
          <t>HKOOB37084303</t>
        </is>
      </c>
      <c r="C231" s="4" t="inlineStr">
        <is>
          <t>20/05/2026</t>
        </is>
      </c>
      <c r="D231" s="4" t="inlineStr">
        <is>
          <t>18:40:57</t>
        </is>
      </c>
      <c r="E231" s="4" t="inlineStr">
        <is>
          <t>mayo</t>
        </is>
      </c>
      <c r="F231" s="4" t="n">
        <v>2026</v>
      </c>
      <c r="G231" s="5" t="inlineStr">
        <is>
          <t>EL PINAR</t>
        </is>
      </c>
      <c r="H231" s="5" t="inlineStr">
        <is>
          <t>82623500-4/IDEAL S.A</t>
        </is>
      </c>
      <c r="I231" s="4" t="n">
        <v>1</v>
      </c>
      <c r="J231" s="5" t="inlineStr">
        <is>
          <t>EL PINAR</t>
        </is>
      </c>
      <c r="K231" s="4" t="n">
        <v>398</v>
      </c>
    </row>
    <row r="232">
      <c r="A232" s="2">
        <f>"119357"</f>
        <v/>
      </c>
      <c r="B232" s="2" t="inlineStr">
        <is>
          <t>HKOOB37081598</t>
        </is>
      </c>
      <c r="C232" s="2" t="inlineStr">
        <is>
          <t>20/05/2026</t>
        </is>
      </c>
      <c r="D232" s="2" t="inlineStr">
        <is>
          <t>18:55:36</t>
        </is>
      </c>
      <c r="E232" s="2" t="inlineStr">
        <is>
          <t>mayo</t>
        </is>
      </c>
      <c r="F232" s="2" t="n">
        <v>2026</v>
      </c>
      <c r="G232" s="3" t="inlineStr">
        <is>
          <t>CHILLAN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CHILLAN</t>
        </is>
      </c>
      <c r="K232" s="2" t="n">
        <v>1687</v>
      </c>
    </row>
    <row r="233">
      <c r="A233" s="4">
        <f>"119359"</f>
        <v/>
      </c>
      <c r="B233" s="4" t="inlineStr">
        <is>
          <t>HKOOB37084330</t>
        </is>
      </c>
      <c r="C233" s="4" t="inlineStr">
        <is>
          <t>20/05/2026</t>
        </is>
      </c>
      <c r="D233" s="4" t="inlineStr">
        <is>
          <t>19:25:39</t>
        </is>
      </c>
      <c r="E233" s="4" t="inlineStr">
        <is>
          <t>mayo</t>
        </is>
      </c>
      <c r="F233" s="4" t="n">
        <v>2026</v>
      </c>
      <c r="G233" s="5" t="inlineStr">
        <is>
          <t>VINA DEL MAR</t>
        </is>
      </c>
      <c r="H233" s="5" t="inlineStr">
        <is>
          <t>82623500-4/IDEAL S.A</t>
        </is>
      </c>
      <c r="I233" s="4" t="n">
        <v>1</v>
      </c>
      <c r="J233" s="5" t="inlineStr">
        <is>
          <t>VINA DEL MAR</t>
        </is>
      </c>
      <c r="K233" s="4" t="n">
        <v>1703</v>
      </c>
    </row>
    <row r="234">
      <c r="A234" s="2">
        <f>"119212"</f>
        <v/>
      </c>
      <c r="B234" s="2" t="inlineStr">
        <is>
          <t>CHKO373745 / HKOOB37043861</t>
        </is>
      </c>
      <c r="C234" s="2" t="inlineStr">
        <is>
          <t>13/05/2026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RUTA SOLITARIA ELPAC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RUTA SOLITARIA ELPAC</t>
        </is>
      </c>
      <c r="K234" s="2" t="n">
        <v>1739</v>
      </c>
    </row>
    <row r="235">
      <c r="A235" s="4">
        <f>"119239"</f>
        <v/>
      </c>
      <c r="B235" s="4" t="inlineStr">
        <is>
          <t>CHKO373825 / CHKO373844</t>
        </is>
      </c>
      <c r="C235" s="4" t="inlineStr">
        <is>
          <t>14/05/2026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VALDIVIA</t>
        </is>
      </c>
      <c r="K235" s="4" t="n">
        <v>1679</v>
      </c>
    </row>
    <row r="236">
      <c r="A236" s="2">
        <f>"119243"</f>
        <v/>
      </c>
      <c r="B236" s="2" t="inlineStr">
        <is>
          <t>CHKO373749 / CHKO373845</t>
        </is>
      </c>
      <c r="C236" s="2" t="inlineStr">
        <is>
          <t>14/05/2026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SAN FERNANDO / TALCA</t>
        </is>
      </c>
      <c r="H236" s="3" t="inlineStr">
        <is>
          <t>76252773-1/GARATE Y GARATE LIMITADA</t>
        </is>
      </c>
      <c r="I236" s="2" t="n">
        <v>1</v>
      </c>
      <c r="J236" s="3" t="inlineStr">
        <is>
          <t>SAN FERNANDO / TALCA</t>
        </is>
      </c>
      <c r="K236" s="2" t="n">
        <v>1627</v>
      </c>
    </row>
    <row r="237">
      <c r="A237" s="4">
        <f>"119255"</f>
        <v/>
      </c>
      <c r="B237" s="4" t="inlineStr">
        <is>
          <t>CHKO373695 / CHKO373826</t>
        </is>
      </c>
      <c r="C237" s="4" t="inlineStr">
        <is>
          <t>15/05/2026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LOS ANGELES / TEMUCO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LOS ANGELES / TEMUCO</t>
        </is>
      </c>
      <c r="K237" s="4" t="n">
        <v>1532</v>
      </c>
    </row>
    <row r="238">
      <c r="A238" s="2">
        <f>"119258"</f>
        <v/>
      </c>
      <c r="B238" s="2" t="inlineStr">
        <is>
          <t>CHKO373754 / CHKO373867 / CHKO373905</t>
        </is>
      </c>
      <c r="C238" s="2" t="inlineStr">
        <is>
          <t>15/05/2026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LA SERENA / RUTA SOLITARIA 1059 LV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LA SERENA / RUTA SOLITARIA 1059 LV</t>
        </is>
      </c>
      <c r="K238" s="2" t="n">
        <v>1708</v>
      </c>
    </row>
    <row r="239">
      <c r="A239" s="4">
        <f>"119261"</f>
        <v/>
      </c>
      <c r="B239" s="4" t="inlineStr">
        <is>
          <t>HKOOB37052768 / HKOOB37058514</t>
        </is>
      </c>
      <c r="C239" s="4" t="inlineStr">
        <is>
          <t>15/05/2026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COPIAPO / LA SERENA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COPIAPO / LA SERENA</t>
        </is>
      </c>
      <c r="K239" s="4" t="n">
        <v>1605</v>
      </c>
    </row>
    <row r="240">
      <c r="A240" s="2">
        <f>"119283"</f>
        <v/>
      </c>
      <c r="B240" s="2" t="inlineStr">
        <is>
          <t>CHKO373697 / CHKO373925</t>
        </is>
      </c>
      <c r="C240" s="2" t="inlineStr">
        <is>
          <t>16/05/2026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LOS ANGELES / TEMUCO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LOS ANGELES / TEMUCO</t>
        </is>
      </c>
      <c r="K240" s="2" t="n">
        <v>1600</v>
      </c>
    </row>
    <row r="241">
      <c r="A241" s="4">
        <f>"119286"</f>
        <v/>
      </c>
      <c r="B241" s="4" t="inlineStr">
        <is>
          <t>HKOOB37063239 / HKOOB37066332</t>
        </is>
      </c>
      <c r="C241" s="4" t="inlineStr">
        <is>
          <t>16/05/2026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TALCA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TALCA</t>
        </is>
      </c>
      <c r="K241" s="4" t="n">
        <v>1544</v>
      </c>
    </row>
    <row r="242">
      <c r="A242" s="2">
        <f>"119288"</f>
        <v/>
      </c>
      <c r="B242" s="2" t="inlineStr">
        <is>
          <t>CHKO373986 / HKOOB37063246</t>
        </is>
      </c>
      <c r="C242" s="2" t="inlineStr">
        <is>
          <t>16/05/2026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LOS ANGELES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LOS ANGELES</t>
        </is>
      </c>
      <c r="K242" s="2" t="n">
        <v>1682</v>
      </c>
    </row>
    <row r="243">
      <c r="A243" s="4">
        <f>"119290"</f>
        <v/>
      </c>
      <c r="B243" s="4" t="inlineStr">
        <is>
          <t>CHKO373949 / HKOOB37037366</t>
        </is>
      </c>
      <c r="C243" s="4" t="inlineStr">
        <is>
          <t>16/05/2026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ANTOFAGASTA / IQUIQUE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ANTOFAGASTA / IQUIQUE</t>
        </is>
      </c>
      <c r="K243" s="4" t="n">
        <v>719</v>
      </c>
    </row>
    <row r="244">
      <c r="A244" s="2">
        <f>"119299"</f>
        <v/>
      </c>
      <c r="B244" s="2" t="inlineStr">
        <is>
          <t>CHKO373702 / CHKO373911 / CHKO374004</t>
        </is>
      </c>
      <c r="C244" s="2" t="inlineStr">
        <is>
          <t>17/05/2026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1953</v>
      </c>
    </row>
    <row r="245">
      <c r="A245" s="4">
        <f>"119301"</f>
        <v/>
      </c>
      <c r="B245" s="4" t="inlineStr">
        <is>
          <t>CHKO374005 / HKOOB37066348</t>
        </is>
      </c>
      <c r="C245" s="4" t="inlineStr">
        <is>
          <t>17/05/2026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ARICA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ARICA</t>
        </is>
      </c>
      <c r="K245" s="4" t="n">
        <v>1701</v>
      </c>
    </row>
    <row r="246">
      <c r="A246" s="2">
        <f>"119302"</f>
        <v/>
      </c>
      <c r="B246" s="2" t="inlineStr">
        <is>
          <t>HKOOB37066351 / HKOOB37066352</t>
        </is>
      </c>
      <c r="C246" s="2" t="inlineStr">
        <is>
          <t>17/05/2026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ANTOFAGASTA</t>
        </is>
      </c>
      <c r="H246" s="3" t="inlineStr">
        <is>
          <t>76746317-0/TRAILER LOGISTICS SPA</t>
        </is>
      </c>
      <c r="I246" s="2" t="n">
        <v>1</v>
      </c>
      <c r="J246" s="3" t="inlineStr">
        <is>
          <t>ANTOFAGASTA</t>
        </is>
      </c>
      <c r="K246" s="2" t="n">
        <v>2102</v>
      </c>
    </row>
    <row r="247">
      <c r="A247" s="4">
        <f>"119304"</f>
        <v/>
      </c>
      <c r="B247" s="4" t="inlineStr">
        <is>
          <t>HKOOB37066334 / HKOOB37066339</t>
        </is>
      </c>
      <c r="C247" s="4" t="inlineStr">
        <is>
          <t>18/05/2026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COPIAPO / LA SERENA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COPIAPO / LA SERENA</t>
        </is>
      </c>
      <c r="K247" s="4" t="n">
        <v>1619</v>
      </c>
    </row>
    <row r="248">
      <c r="A248" s="2">
        <f>"119308"</f>
        <v/>
      </c>
      <c r="B248" s="2" t="inlineStr">
        <is>
          <t>CHKO373703 / CHKO373952 / CHKO374066</t>
        </is>
      </c>
      <c r="C248" s="2" t="inlineStr">
        <is>
          <t>18/05/2026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LA SERENA / RUTA SOLITARIA 1059 LV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LA SERENA / RUTA SOLITARIA 1059 LV</t>
        </is>
      </c>
      <c r="K248" s="2" t="n">
        <v>1657</v>
      </c>
    </row>
    <row r="249">
      <c r="A249" s="4">
        <f>"119318"</f>
        <v/>
      </c>
      <c r="B249" s="4" t="inlineStr">
        <is>
          <t>CHKO373953 / HKOOB37075213</t>
        </is>
      </c>
      <c r="C249" s="4" t="inlineStr">
        <is>
          <t>18/05/2026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PTO MONTT / VALDIVIA</t>
        </is>
      </c>
      <c r="H249" s="5" t="inlineStr">
        <is>
          <t>77970090-9/TRANSPORTES DONA ISIDORA (LABBE)</t>
        </is>
      </c>
      <c r="I249" s="4" t="n">
        <v>1</v>
      </c>
      <c r="J249" s="5" t="inlineStr">
        <is>
          <t>PTO MONTT / VALDIVIA</t>
        </is>
      </c>
      <c r="K249" s="4" t="n">
        <v>1380</v>
      </c>
    </row>
    <row r="250">
      <c r="A250" s="2">
        <f>"119341"</f>
        <v/>
      </c>
      <c r="B250" s="2" t="inlineStr">
        <is>
          <t>HKOOB37081614 / HKOOB37081617</t>
        </is>
      </c>
      <c r="C250" s="2" t="inlineStr">
        <is>
          <t>20/05/2026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PTO MONTT / RUTA SOLITARIA ELPAC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PTO MONTT / RUTA SOLITARIA ELPAC</t>
        </is>
      </c>
      <c r="K250" s="2" t="n">
        <v>1621</v>
      </c>
    </row>
    <row r="251">
      <c r="A251" s="4" t="inlineStr">
        <is>
          <t>LAS</t>
        </is>
      </c>
      <c r="B251" s="4" t="inlineStr">
        <is>
          <t>HKOOB37058740 / HKOOB37058741 / HKOOB37063774</t>
        </is>
      </c>
      <c r="C251" s="4" t="inlineStr">
        <is>
          <t>15/05/2026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EL PINAR / LO ESPEJO</t>
        </is>
      </c>
      <c r="H251" s="5" t="inlineStr">
        <is>
          <t>82623500-4/IDEAL S.A</t>
        </is>
      </c>
      <c r="I251" s="4" t="n">
        <v>1</v>
      </c>
      <c r="J251" s="5" t="inlineStr">
        <is>
          <t>EL PINAR / LO ESPEJO</t>
        </is>
      </c>
      <c r="K251" s="4" t="n">
        <v>3493</v>
      </c>
    </row>
  </sheetData>
  <autoFilter ref="A1:K2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2026-05-20T23:38:05Z</dcterms:created>
  <dcterms:modified xmlns:dcterms="http://purl.org/dc/terms/" xmlns:xsi="http://www.w3.org/2001/XMLSchema-instance" xsi:type="dcterms:W3CDTF">2026-05-20T23:38:06Z</dcterms:modified>
</cp:coreProperties>
</file>