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"119112"</f>
        <v/>
      </c>
      <c r="B225" s="4" t="inlineStr">
        <is>
          <t>HKOOB36994400 / HKOOB36994408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PTO MONTT / VALDIVIA</t>
        </is>
      </c>
      <c r="K225" s="4" t="n">
        <v>1247</v>
      </c>
    </row>
    <row r="226">
      <c r="A226" s="2">
        <f>"119118"</f>
        <v/>
      </c>
      <c r="B226" s="2" t="inlineStr">
        <is>
          <t>CHKO373029 / CHKO373166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592</v>
      </c>
    </row>
    <row r="227">
      <c r="A227" s="4">
        <f>"119142"</f>
        <v/>
      </c>
      <c r="B227" s="4" t="inlineStr">
        <is>
          <t>CHKO373309 / CHKO373325</t>
        </is>
      </c>
      <c r="C227" s="4" t="inlineStr">
        <is>
          <t>08/05/2026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 / ARICA</t>
        </is>
      </c>
      <c r="H227" s="5" t="inlineStr">
        <is>
          <t>77970090-9/TRANSPORTES DONA ISIDORA (LABBE)</t>
        </is>
      </c>
      <c r="I227" s="4" t="n">
        <v>1</v>
      </c>
      <c r="J227" s="5" t="inlineStr">
        <is>
          <t>ANTOFAGASTA / ARICA</t>
        </is>
      </c>
      <c r="K227" s="4" t="n">
        <v>1380</v>
      </c>
    </row>
    <row r="228">
      <c r="A228" s="2">
        <f>"119173"</f>
        <v/>
      </c>
      <c r="B228" s="2" t="inlineStr">
        <is>
          <t>CHKO373624 / HKOOB37011942</t>
        </is>
      </c>
      <c r="C228" s="2" t="inlineStr">
        <is>
          <t>11/05/2026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1664</v>
      </c>
    </row>
    <row r="229">
      <c r="A229" s="4">
        <f>"119195"</f>
        <v/>
      </c>
      <c r="B229" s="4" t="inlineStr">
        <is>
          <t>CHKO373384 / HKOOB37037365</t>
        </is>
      </c>
      <c r="C229" s="4" t="inlineStr">
        <is>
          <t>12/05/2026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ANTOFAGASTA / IQUIQUE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ANTOFAGASTA / IQUIQUE</t>
        </is>
      </c>
      <c r="K229" s="4" t="n">
        <v>1786</v>
      </c>
    </row>
    <row r="230">
      <c r="A230" s="2">
        <f>"119212"</f>
        <v/>
      </c>
      <c r="B230" s="2" t="inlineStr">
        <is>
          <t>CHKO373745 / HKOOB37043861</t>
        </is>
      </c>
      <c r="C230" s="2" t="inlineStr">
        <is>
          <t>13/05/2026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1739</v>
      </c>
    </row>
    <row r="231">
      <c r="A231" s="4">
        <f>"119239"</f>
        <v/>
      </c>
      <c r="B231" s="4" t="inlineStr">
        <is>
          <t>CHKO373825 / CHKO373844</t>
        </is>
      </c>
      <c r="C231" s="4" t="inlineStr">
        <is>
          <t>14/05/2026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1679</v>
      </c>
    </row>
    <row r="232">
      <c r="A232" s="2">
        <f>"119243"</f>
        <v/>
      </c>
      <c r="B232" s="2" t="inlineStr">
        <is>
          <t>CHKO373749 / CHKO373845</t>
        </is>
      </c>
      <c r="C232" s="2" t="inlineStr">
        <is>
          <t>14/05/2026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SAN FERNANDO / TALCA</t>
        </is>
      </c>
      <c r="H232" s="3" t="inlineStr">
        <is>
          <t>76252773-1/GARATE Y GARATE LIMITADA</t>
        </is>
      </c>
      <c r="I232" s="2" t="n">
        <v>1</v>
      </c>
      <c r="J232" s="3" t="inlineStr">
        <is>
          <t>SAN FERNANDO / TALCA</t>
        </is>
      </c>
      <c r="K232" s="2" t="n">
        <v>1627</v>
      </c>
    </row>
    <row r="233">
      <c r="A233" s="4">
        <f>"119255"</f>
        <v/>
      </c>
      <c r="B233" s="4" t="inlineStr">
        <is>
          <t>CHKO373695 / CHKO373826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LOS ANGELES / 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LOS ANGELES / TEMUCO</t>
        </is>
      </c>
      <c r="K233" s="4" t="n">
        <v>1532</v>
      </c>
    </row>
    <row r="234">
      <c r="A234" s="2">
        <f>"119258"</f>
        <v/>
      </c>
      <c r="B234" s="2" t="inlineStr">
        <is>
          <t>CHKO373754 / CHKO373867 / CHKO373905</t>
        </is>
      </c>
      <c r="C234" s="2" t="inlineStr">
        <is>
          <t>15/05/2026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1708</v>
      </c>
    </row>
    <row r="235">
      <c r="A235" s="4">
        <f>"119261"</f>
        <v/>
      </c>
      <c r="B235" s="4" t="inlineStr">
        <is>
          <t>HKOOB37052768 / HKOOB37058514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COPIAPO / LA SERENA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COPIAPO / LA SERENA</t>
        </is>
      </c>
      <c r="K235" s="4" t="n">
        <v>1605</v>
      </c>
    </row>
    <row r="236">
      <c r="A236" s="2">
        <f>"119283"</f>
        <v/>
      </c>
      <c r="B236" s="2" t="inlineStr">
        <is>
          <t>CHKO373697 / CHKO373925</t>
        </is>
      </c>
      <c r="C236" s="2" t="inlineStr">
        <is>
          <t>16/05/2026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LOS ANGELES / TEMUCO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LOS ANGELES / TEMUCO</t>
        </is>
      </c>
      <c r="K236" s="2" t="n">
        <v>1600</v>
      </c>
    </row>
    <row r="237">
      <c r="A237" s="4">
        <f>"119286"</f>
        <v/>
      </c>
      <c r="B237" s="4" t="inlineStr">
        <is>
          <t>HKOOB37063239 / HKOOB37066332</t>
        </is>
      </c>
      <c r="C237" s="4" t="inlineStr">
        <is>
          <t>16/05/2026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TALCA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TALCA</t>
        </is>
      </c>
      <c r="K237" s="4" t="n">
        <v>1544</v>
      </c>
    </row>
    <row r="238">
      <c r="A238" s="2">
        <f>"119288"</f>
        <v/>
      </c>
      <c r="B238" s="2" t="inlineStr">
        <is>
          <t>CHKO373986 / HKOOB37063246</t>
        </is>
      </c>
      <c r="C238" s="2" t="inlineStr">
        <is>
          <t>16/05/2026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LOS ANGELES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LOS ANGELES</t>
        </is>
      </c>
      <c r="K238" s="2" t="n">
        <v>1682</v>
      </c>
    </row>
    <row r="239">
      <c r="A239" s="4">
        <f>"119290"</f>
        <v/>
      </c>
      <c r="B239" s="4" t="inlineStr">
        <is>
          <t>CHKO373949 / HKOOB37037366</t>
        </is>
      </c>
      <c r="C239" s="4" t="inlineStr">
        <is>
          <t>16/05/2026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 / IQUIQUE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ANTOFAGASTA / IQUIQUE</t>
        </is>
      </c>
      <c r="K239" s="4" t="n">
        <v>719</v>
      </c>
    </row>
    <row r="240">
      <c r="A240" s="2" t="inlineStr">
        <is>
          <t>LAS</t>
        </is>
      </c>
      <c r="B240" s="2" t="inlineStr">
        <is>
          <t>HKOOB36997597 / HKOOB36997604 / HKOOB37004439 / HKOOB37004444 / HKOOB37004446 / HKOOB37058740 / HKOOB37058741 / HKOOB37063774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EL PINAR / LO ESPEJO / VINA DEL MAR</t>
        </is>
      </c>
      <c r="H240" s="3" t="inlineStr">
        <is>
          <t>SIN PROVEEDOR</t>
        </is>
      </c>
      <c r="I240" s="2" t="n">
        <v>1</v>
      </c>
      <c r="J240" s="3" t="inlineStr">
        <is>
          <t>EL PINAR / LO ESPEJO / VINA DEL MAR</t>
        </is>
      </c>
      <c r="K240" s="2" t="n">
        <v>9403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2026-05-17T05:31:59Z</dcterms:created>
  <dcterms:modified xmlns:dcterms="http://purl.org/dc/terms/" xmlns:xsi="http://www.w3.org/2001/XMLSchema-instance" xsi:type="dcterms:W3CDTF">2026-05-17T05:31:59Z</dcterms:modified>
</cp:coreProperties>
</file>