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"38504"</f>
        <v/>
      </c>
      <c r="B238" s="2" t="inlineStr">
        <is>
          <t>HKOOB37058753</t>
        </is>
      </c>
      <c r="C238" s="2" t="inlineStr">
        <is>
          <t>15/05/2026</t>
        </is>
      </c>
      <c r="D238" s="2" t="inlineStr">
        <is>
          <t>18:17:33</t>
        </is>
      </c>
      <c r="E238" s="2" t="inlineStr">
        <is>
          <t>mayo</t>
        </is>
      </c>
      <c r="F238" s="2" t="n">
        <v>2026</v>
      </c>
      <c r="G238" s="3" t="inlineStr">
        <is>
          <t>EL PINAR</t>
        </is>
      </c>
      <c r="H238" s="3" t="inlineStr">
        <is>
          <t>SIN PROVEEDOR</t>
        </is>
      </c>
      <c r="I238" s="2" t="n">
        <v>1</v>
      </c>
      <c r="J238" s="3" t="inlineStr">
        <is>
          <t>EL PINAR</t>
        </is>
      </c>
      <c r="K238" s="2" t="n">
        <v>1076</v>
      </c>
    </row>
    <row r="239">
      <c r="A239" s="4">
        <f>"119087"</f>
        <v/>
      </c>
      <c r="B239" s="4" t="inlineStr">
        <is>
          <t>CHKO372924 / HKOOB36982949</t>
        </is>
      </c>
      <c r="C239" s="4" t="inlineStr">
        <is>
          <t>06/05/2026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RUTA SOLITARIA ELPAC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RUTA SOLITARIA ELPAC</t>
        </is>
      </c>
      <c r="K239" s="4" t="n">
        <v>1868</v>
      </c>
    </row>
    <row r="240">
      <c r="A240" s="2">
        <f>"119112"</f>
        <v/>
      </c>
      <c r="B240" s="2" t="inlineStr">
        <is>
          <t>HKOOB36994400 / HKOOB36994408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PTO MONTT / VALDIVIA</t>
        </is>
      </c>
      <c r="K240" s="2" t="n">
        <v>1247</v>
      </c>
    </row>
    <row r="241">
      <c r="A241" s="4">
        <f>"119113"</f>
        <v/>
      </c>
      <c r="B241" s="4" t="inlineStr">
        <is>
          <t>CHKO373144 / HKOOB36991739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CHILLAN / TALCA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CHILLAN / TALCA</t>
        </is>
      </c>
      <c r="K241" s="4" t="n">
        <v>1626</v>
      </c>
    </row>
    <row r="242">
      <c r="A242" s="2">
        <f>"119118"</f>
        <v/>
      </c>
      <c r="B242" s="2" t="inlineStr">
        <is>
          <t>CHKO373029 / CHKO373166 / HKOOB36991777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1570</v>
      </c>
    </row>
    <row r="243">
      <c r="A243" s="4">
        <f>"119142"</f>
        <v/>
      </c>
      <c r="B243" s="4" t="inlineStr">
        <is>
          <t>CHKO373309 / CHKO373325 / HKOOB36985272</t>
        </is>
      </c>
      <c r="C243" s="4" t="inlineStr">
        <is>
          <t>08/05/2026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ARICA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ANTOFAGASTA / ARICA</t>
        </is>
      </c>
      <c r="K243" s="4" t="n">
        <v>1716</v>
      </c>
    </row>
    <row r="244">
      <c r="A244" s="2">
        <f>"119173"</f>
        <v/>
      </c>
      <c r="B244" s="2" t="inlineStr">
        <is>
          <t>CHKO373624 / HKOOB37011942</t>
        </is>
      </c>
      <c r="C244" s="2" t="inlineStr">
        <is>
          <t>11/05/2026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1664</v>
      </c>
    </row>
    <row r="245">
      <c r="A245" s="4">
        <f>"119195"</f>
        <v/>
      </c>
      <c r="B245" s="4" t="inlineStr">
        <is>
          <t>CHKO373384 / HKOOB37037365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IQUIQUE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ANTOFAGASTA / IQUIQUE</t>
        </is>
      </c>
      <c r="K245" s="4" t="n">
        <v>1786</v>
      </c>
    </row>
    <row r="246">
      <c r="A246" s="2">
        <f>"119212"</f>
        <v/>
      </c>
      <c r="B246" s="2" t="inlineStr">
        <is>
          <t>CHKO373745 / HKOOB37043861</t>
        </is>
      </c>
      <c r="C246" s="2" t="inlineStr">
        <is>
          <t>13/05/2026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1739</v>
      </c>
    </row>
    <row r="247">
      <c r="A247" s="4">
        <f>"119239"</f>
        <v/>
      </c>
      <c r="B247" s="4" t="inlineStr">
        <is>
          <t>CHKO373825 / CHKO373844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VALDIVIA</t>
        </is>
      </c>
      <c r="K247" s="4" t="n">
        <v>1679</v>
      </c>
    </row>
    <row r="248">
      <c r="A248" s="2">
        <f>"119243"</f>
        <v/>
      </c>
      <c r="B248" s="2" t="inlineStr">
        <is>
          <t>CHKO373749 / CHKO373845</t>
        </is>
      </c>
      <c r="C248" s="2" t="inlineStr">
        <is>
          <t>14/05/2026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SAN FERNANDO / TALCA</t>
        </is>
      </c>
      <c r="H248" s="3" t="inlineStr">
        <is>
          <t>76252773-1/GARATE Y GARATE LIMITADA</t>
        </is>
      </c>
      <c r="I248" s="2" t="n">
        <v>1</v>
      </c>
      <c r="J248" s="3" t="inlineStr">
        <is>
          <t>SAN FERNANDO / TALCA</t>
        </is>
      </c>
      <c r="K248" s="2" t="n">
        <v>1627</v>
      </c>
    </row>
    <row r="249">
      <c r="A249" s="4">
        <f>"119255"</f>
        <v/>
      </c>
      <c r="B249" s="4" t="inlineStr">
        <is>
          <t>CHKO373695 / CHKO373826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1532</v>
      </c>
    </row>
    <row r="250">
      <c r="A250" s="2">
        <f>"119258"</f>
        <v/>
      </c>
      <c r="B250" s="2" t="inlineStr">
        <is>
          <t>CHKO373754 / CHKO373867 / CHKO373905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LA SERENA / RUTA SOLITARIA 1059 LV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LA SERENA / RUTA SOLITARIA 1059 LV</t>
        </is>
      </c>
      <c r="K250" s="2" t="n">
        <v>1708</v>
      </c>
    </row>
    <row r="251">
      <c r="A251" s="4">
        <f>"119261"</f>
        <v/>
      </c>
      <c r="B251" s="4" t="inlineStr">
        <is>
          <t>HKOOB37052768 / HKOOB37058514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COPIAPO / LA SERENA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COPIAPO / LA SERENA</t>
        </is>
      </c>
      <c r="K251" s="4" t="n">
        <v>1605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 / HKOOB37058740 / HKOOB37058741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13769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2026-05-15T23:25:18Z</dcterms:created>
  <dcterms:modified xmlns:dcterms="http://purl.org/dc/terms/" xmlns:xsi="http://www.w3.org/2001/XMLSchema-instance" xsi:type="dcterms:W3CDTF">2026-05-15T23:25:18Z</dcterms:modified>
</cp:coreProperties>
</file>