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"119262"</f>
        <v/>
      </c>
      <c r="B235" s="4" t="inlineStr">
        <is>
          <t>HKOOB37058565</t>
        </is>
      </c>
      <c r="C235" s="4" t="inlineStr">
        <is>
          <t>15/05/2026</t>
        </is>
      </c>
      <c r="D235" s="4" t="inlineStr">
        <is>
          <t>14:50:21</t>
        </is>
      </c>
      <c r="E235" s="4" t="inlineStr">
        <is>
          <t>mayo</t>
        </is>
      </c>
      <c r="F235" s="4" t="n">
        <v>2026</v>
      </c>
      <c r="G235" s="5" t="inlineStr">
        <is>
          <t>TALCA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TALCA</t>
        </is>
      </c>
      <c r="K235" s="4" t="n">
        <v>1634</v>
      </c>
    </row>
    <row r="236">
      <c r="A236" s="2">
        <f>"119263"</f>
        <v/>
      </c>
      <c r="B236" s="2" t="inlineStr">
        <is>
          <t>HKOOB37058519</t>
        </is>
      </c>
      <c r="C236" s="2" t="inlineStr">
        <is>
          <t>15/05/2026</t>
        </is>
      </c>
      <c r="D236" s="2" t="inlineStr">
        <is>
          <t>16:12:29</t>
        </is>
      </c>
      <c r="E236" s="2" t="inlineStr">
        <is>
          <t>mayo</t>
        </is>
      </c>
      <c r="F236" s="2" t="n">
        <v>2026</v>
      </c>
      <c r="G236" s="3" t="inlineStr">
        <is>
          <t>ARICA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ARICA</t>
        </is>
      </c>
      <c r="K236" s="2" t="n">
        <v>1820</v>
      </c>
    </row>
    <row r="237">
      <c r="A237" s="4">
        <f>"119264"</f>
        <v/>
      </c>
      <c r="B237" s="4" t="inlineStr">
        <is>
          <t>HKOOB37058525</t>
        </is>
      </c>
      <c r="C237" s="4" t="inlineStr">
        <is>
          <t>15/05/2026</t>
        </is>
      </c>
      <c r="D237" s="4" t="inlineStr">
        <is>
          <t>17:45:30</t>
        </is>
      </c>
      <c r="E237" s="4" t="inlineStr">
        <is>
          <t>mayo</t>
        </is>
      </c>
      <c r="F237" s="4" t="n">
        <v>2026</v>
      </c>
      <c r="G237" s="5" t="inlineStr">
        <is>
          <t>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TEMUCO</t>
        </is>
      </c>
      <c r="K237" s="4" t="n">
        <v>1832</v>
      </c>
    </row>
    <row r="238">
      <c r="A238" s="2">
        <f>"119265"</f>
        <v/>
      </c>
      <c r="B238" s="2" t="inlineStr">
        <is>
          <t>HKOOB37058750</t>
        </is>
      </c>
      <c r="C238" s="2" t="inlineStr">
        <is>
          <t>15/05/2026</t>
        </is>
      </c>
      <c r="D238" s="2" t="inlineStr">
        <is>
          <t>18:09:42</t>
        </is>
      </c>
      <c r="E238" s="2" t="inlineStr">
        <is>
          <t>mayo</t>
        </is>
      </c>
      <c r="F238" s="2" t="n">
        <v>2026</v>
      </c>
      <c r="G238" s="3" t="inlineStr">
        <is>
          <t>VINA DEL MAR</t>
        </is>
      </c>
      <c r="H238" s="3" t="inlineStr">
        <is>
          <t>16575553-7/GABRIEL ALEJANDRO ESTAY CARRAZANA</t>
        </is>
      </c>
      <c r="I238" s="2" t="n">
        <v>1</v>
      </c>
      <c r="J238" s="3" t="inlineStr">
        <is>
          <t>VINA DEL MAR</t>
        </is>
      </c>
      <c r="K238" s="2" t="n">
        <v>1766</v>
      </c>
    </row>
    <row r="239">
      <c r="A239" s="4">
        <f>"38504"</f>
        <v/>
      </c>
      <c r="B239" s="4" t="inlineStr">
        <is>
          <t>HKOOB37058753</t>
        </is>
      </c>
      <c r="C239" s="4" t="inlineStr">
        <is>
          <t>15/05/2026</t>
        </is>
      </c>
      <c r="D239" s="4" t="inlineStr">
        <is>
          <t>18:17:33</t>
        </is>
      </c>
      <c r="E239" s="4" t="inlineStr">
        <is>
          <t>mayo</t>
        </is>
      </c>
      <c r="F239" s="4" t="n">
        <v>2026</v>
      </c>
      <c r="G239" s="5" t="inlineStr">
        <is>
          <t>EL PINAR</t>
        </is>
      </c>
      <c r="H239" s="5" t="inlineStr">
        <is>
          <t>SIN PROVEEDOR</t>
        </is>
      </c>
      <c r="I239" s="4" t="n">
        <v>1</v>
      </c>
      <c r="J239" s="5" t="inlineStr">
        <is>
          <t>EL PINAR</t>
        </is>
      </c>
      <c r="K239" s="4" t="n">
        <v>1076</v>
      </c>
    </row>
    <row r="240">
      <c r="A240" s="2">
        <f>"119087"</f>
        <v/>
      </c>
      <c r="B240" s="2" t="inlineStr">
        <is>
          <t>CHKO372924 / HKOOB36982949</t>
        </is>
      </c>
      <c r="C240" s="2" t="inlineStr">
        <is>
          <t>06/05/2026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RUTA SOLITARIA ELPAC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PTO MONTT / RUTA SOLITARIA ELPAC</t>
        </is>
      </c>
      <c r="K240" s="2" t="n">
        <v>1868</v>
      </c>
    </row>
    <row r="241">
      <c r="A241" s="4">
        <f>"119112"</f>
        <v/>
      </c>
      <c r="B241" s="4" t="inlineStr">
        <is>
          <t>HKOOB36994400 / HKOOB36994408</t>
        </is>
      </c>
      <c r="C241" s="4" t="inlineStr">
        <is>
          <t>07/05/2026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PTO MONTT / VALDIVIA</t>
        </is>
      </c>
      <c r="K241" s="4" t="n">
        <v>1247</v>
      </c>
    </row>
    <row r="242">
      <c r="A242" s="2">
        <f>"119113"</f>
        <v/>
      </c>
      <c r="B242" s="2" t="inlineStr">
        <is>
          <t>CHKO373144 / HKOOB36991739</t>
        </is>
      </c>
      <c r="C242" s="2" t="inlineStr">
        <is>
          <t>07/05/2026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CHILLAN / TALCA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CHILLAN / TALCA</t>
        </is>
      </c>
      <c r="K242" s="2" t="n">
        <v>1626</v>
      </c>
    </row>
    <row r="243">
      <c r="A243" s="4">
        <f>"119118"</f>
        <v/>
      </c>
      <c r="B243" s="4" t="inlineStr">
        <is>
          <t>CHKO373029 / CHKO373166 / HKOOB36991777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LA SERENA / RUTA SOLITARIA 1059 LV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LA SERENA / RUTA SOLITARIA 1059 LV</t>
        </is>
      </c>
      <c r="K243" s="4" t="n">
        <v>1570</v>
      </c>
    </row>
    <row r="244">
      <c r="A244" s="2">
        <f>"119142"</f>
        <v/>
      </c>
      <c r="B244" s="2" t="inlineStr">
        <is>
          <t>CHKO373309 / CHKO373325 / HKOOB36985272</t>
        </is>
      </c>
      <c r="C244" s="2" t="inlineStr">
        <is>
          <t>08/05/2026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ANTOFAGASTA / ARICA</t>
        </is>
      </c>
      <c r="H244" s="3" t="inlineStr">
        <is>
          <t>77970090-9/TRANSPORTES DONA ISIDORA (LABBE)</t>
        </is>
      </c>
      <c r="I244" s="2" t="n">
        <v>1</v>
      </c>
      <c r="J244" s="3" t="inlineStr">
        <is>
          <t>ANTOFAGASTA / ARICA</t>
        </is>
      </c>
      <c r="K244" s="2" t="n">
        <v>1716</v>
      </c>
    </row>
    <row r="245">
      <c r="A245" s="4">
        <f>"119173"</f>
        <v/>
      </c>
      <c r="B245" s="4" t="inlineStr">
        <is>
          <t>CHKO373624 / HKOOB37011942</t>
        </is>
      </c>
      <c r="C245" s="4" t="inlineStr">
        <is>
          <t>11/05/2026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VALDIVIA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VALDIVIA</t>
        </is>
      </c>
      <c r="K245" s="4" t="n">
        <v>1664</v>
      </c>
    </row>
    <row r="246">
      <c r="A246" s="2">
        <f>"119195"</f>
        <v/>
      </c>
      <c r="B246" s="2" t="inlineStr">
        <is>
          <t>CHKO373384 / HKOOB37037365</t>
        </is>
      </c>
      <c r="C246" s="2" t="inlineStr">
        <is>
          <t>12/05/2026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ANTOFAGASTA / IQUIQUE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ANTOFAGASTA / IQUIQUE</t>
        </is>
      </c>
      <c r="K246" s="2" t="n">
        <v>1786</v>
      </c>
    </row>
    <row r="247">
      <c r="A247" s="4">
        <f>"119212"</f>
        <v/>
      </c>
      <c r="B247" s="4" t="inlineStr">
        <is>
          <t>CHKO373745 / HKOOB37043861</t>
        </is>
      </c>
      <c r="C247" s="4" t="inlineStr">
        <is>
          <t>13/05/2026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PTO MONTT / RUTA SOLITARIA ELPAC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PTO MONTT / RUTA SOLITARIA ELPAC</t>
        </is>
      </c>
      <c r="K247" s="4" t="n">
        <v>1739</v>
      </c>
    </row>
    <row r="248">
      <c r="A248" s="2">
        <f>"119239"</f>
        <v/>
      </c>
      <c r="B248" s="2" t="inlineStr">
        <is>
          <t>CHKO373825 / CHKO373844</t>
        </is>
      </c>
      <c r="C248" s="2" t="inlineStr">
        <is>
          <t>14/05/2026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VALDIVIA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VALDIVIA</t>
        </is>
      </c>
      <c r="K248" s="2" t="n">
        <v>1679</v>
      </c>
    </row>
    <row r="249">
      <c r="A249" s="4">
        <f>"119243"</f>
        <v/>
      </c>
      <c r="B249" s="4" t="inlineStr">
        <is>
          <t>CHKO373749 / CHKO373845</t>
        </is>
      </c>
      <c r="C249" s="4" t="inlineStr">
        <is>
          <t>14/05/2026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SAN FERNANDO / TALCA</t>
        </is>
      </c>
      <c r="H249" s="5" t="inlineStr">
        <is>
          <t>76252773-1/GARATE Y GARATE LIMITADA</t>
        </is>
      </c>
      <c r="I249" s="4" t="n">
        <v>1</v>
      </c>
      <c r="J249" s="5" t="inlineStr">
        <is>
          <t>SAN FERNANDO / TALCA</t>
        </is>
      </c>
      <c r="K249" s="4" t="n">
        <v>1627</v>
      </c>
    </row>
    <row r="250">
      <c r="A250" s="2">
        <f>"119255"</f>
        <v/>
      </c>
      <c r="B250" s="2" t="inlineStr">
        <is>
          <t>CHKO373695 / CHKO373826</t>
        </is>
      </c>
      <c r="C250" s="2" t="inlineStr">
        <is>
          <t>15/05/2026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LOS ANGELES / TEMUCO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LOS ANGELES / TEMUCO</t>
        </is>
      </c>
      <c r="K250" s="2" t="n">
        <v>1532</v>
      </c>
    </row>
    <row r="251">
      <c r="A251" s="4">
        <f>"119258"</f>
        <v/>
      </c>
      <c r="B251" s="4" t="inlineStr">
        <is>
          <t>CHKO373754 / CHKO373867 / CHKO373905</t>
        </is>
      </c>
      <c r="C251" s="4" t="inlineStr">
        <is>
          <t>15/05/2026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LA SERENA / RUTA SOLITARIA 1059 LV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LA SERENA / RUTA SOLITARIA 1059 LV</t>
        </is>
      </c>
      <c r="K251" s="4" t="n">
        <v>1708</v>
      </c>
    </row>
    <row r="252">
      <c r="A252" s="2">
        <f>"119261"</f>
        <v/>
      </c>
      <c r="B252" s="2" t="inlineStr">
        <is>
          <t>HKOOB37052768 / HKOOB37058514</t>
        </is>
      </c>
      <c r="C252" s="2" t="inlineStr">
        <is>
          <t>15/05/2026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COPIAPO / LA SERENA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COPIAPO / LA SERENA</t>
        </is>
      </c>
      <c r="K252" s="2" t="n">
        <v>1605</v>
      </c>
    </row>
    <row r="253">
      <c r="A253" s="4" t="inlineStr">
        <is>
          <t>LAS</t>
        </is>
      </c>
      <c r="B253" s="4" t="inlineStr">
        <is>
          <t>HKOOB36985602 / HKOOB36985610 / HKOOB36991771 / HKOOB36991772 / HKOOB36997597 / HKOOB36997604 / HKOOB37004439 / HKOOB37004444 / HKOOB37004446 / HKOOB37058740 / HKOOB37058741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LO ESPEJO / VINA DEL MAR</t>
        </is>
      </c>
      <c r="K253" s="4" t="n">
        <v>13769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2026-05-16T00:02:43Z</dcterms:created>
  <dcterms:modified xmlns:dcterms="http://purl.org/dc/terms/" xmlns:xsi="http://www.w3.org/2001/XMLSchema-instance" xsi:type="dcterms:W3CDTF">2026-05-16T00:02:43Z</dcterms:modified>
</cp:coreProperties>
</file>