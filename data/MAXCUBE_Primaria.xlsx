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>
        <f>"119069"</f>
        <v/>
      </c>
      <c r="B194" s="2" t="inlineStr">
        <is>
          <t>CHKO372804 / CHKO372827</t>
        </is>
      </c>
      <c r="C194" s="2" t="inlineStr">
        <is>
          <t>05/05/2026</t>
        </is>
      </c>
      <c r="D194" s="2" t="n">
        <v/>
      </c>
      <c r="E194" s="2" t="inlineStr">
        <is>
          <t>mayo</t>
        </is>
      </c>
      <c r="F194" s="2" t="n">
        <v>2026</v>
      </c>
      <c r="G194" s="3" t="inlineStr">
        <is>
          <t>LA SERENA / RUTA SOLITARIA 1059 LV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LA SERENA / RUTA SOLITARIA 1059 LV</t>
        </is>
      </c>
      <c r="K194" s="2" t="n">
        <v>1543</v>
      </c>
    </row>
    <row r="195">
      <c r="A195" s="4">
        <f>"119087"</f>
        <v/>
      </c>
      <c r="B195" s="4" t="inlineStr">
        <is>
          <t>CHKO372924 / HKOOB36982949</t>
        </is>
      </c>
      <c r="C195" s="4" t="inlineStr">
        <is>
          <t>06/05/2026</t>
        </is>
      </c>
      <c r="D195" s="4" t="n">
        <v/>
      </c>
      <c r="E195" s="4" t="inlineStr">
        <is>
          <t>mayo</t>
        </is>
      </c>
      <c r="F195" s="4" t="n">
        <v>2026</v>
      </c>
      <c r="G195" s="5" t="inlineStr">
        <is>
          <t>PTO MONTT / RUTA SOLITARIA ELPAC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 / RUTA SOLITARIA ELPAC</t>
        </is>
      </c>
      <c r="K195" s="4" t="n">
        <v>1868</v>
      </c>
    </row>
    <row r="196">
      <c r="A196" s="2">
        <f>"119112"</f>
        <v/>
      </c>
      <c r="B196" s="2" t="inlineStr">
        <is>
          <t>HKOOB36994400 / HKOOB36994408</t>
        </is>
      </c>
      <c r="C196" s="2" t="inlineStr">
        <is>
          <t>07/05/2026</t>
        </is>
      </c>
      <c r="D196" s="2" t="n">
        <v/>
      </c>
      <c r="E196" s="2" t="inlineStr">
        <is>
          <t>mayo</t>
        </is>
      </c>
      <c r="F196" s="2" t="n">
        <v>2026</v>
      </c>
      <c r="G196" s="3" t="inlineStr">
        <is>
          <t>PTO MONTT / VALDIVIA</t>
        </is>
      </c>
      <c r="H196" s="3" t="inlineStr">
        <is>
          <t>77970090-9/TRANSPORTES DONA ISIDORA (LABBE)</t>
        </is>
      </c>
      <c r="I196" s="2" t="n">
        <v>1</v>
      </c>
      <c r="J196" s="3" t="inlineStr">
        <is>
          <t>PTO MONTT / VALDIVIA</t>
        </is>
      </c>
      <c r="K196" s="2" t="n">
        <v>1247</v>
      </c>
    </row>
    <row r="197">
      <c r="A197" s="4">
        <f>"119113"</f>
        <v/>
      </c>
      <c r="B197" s="4" t="inlineStr">
        <is>
          <t>CHKO373144 / HKOOB36991739</t>
        </is>
      </c>
      <c r="C197" s="4" t="inlineStr">
        <is>
          <t>07/05/2026</t>
        </is>
      </c>
      <c r="D197" s="4" t="n">
        <v/>
      </c>
      <c r="E197" s="4" t="inlineStr">
        <is>
          <t>mayo</t>
        </is>
      </c>
      <c r="F197" s="4" t="n">
        <v>2026</v>
      </c>
      <c r="G197" s="5" t="inlineStr">
        <is>
          <t>CHILLAN / TALCA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CHILLAN / TALCA</t>
        </is>
      </c>
      <c r="K197" s="4" t="n">
        <v>1626</v>
      </c>
    </row>
    <row r="198">
      <c r="A198" s="2">
        <f>"119118"</f>
        <v/>
      </c>
      <c r="B198" s="2" t="inlineStr">
        <is>
          <t>CHKO373029 / CHKO373166 / HKOOB36991777</t>
        </is>
      </c>
      <c r="C198" s="2" t="inlineStr">
        <is>
          <t>07/05/2026</t>
        </is>
      </c>
      <c r="D198" s="2" t="n">
        <v/>
      </c>
      <c r="E198" s="2" t="inlineStr">
        <is>
          <t>mayo</t>
        </is>
      </c>
      <c r="F198" s="2" t="n">
        <v>2026</v>
      </c>
      <c r="G198" s="3" t="inlineStr">
        <is>
          <t>LA SERENA / RUTA SOLITARIA 1059 LV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LA SERENA / RUTA SOLITARIA 1059 LV</t>
        </is>
      </c>
      <c r="K198" s="2" t="n">
        <v>1570</v>
      </c>
    </row>
    <row r="199">
      <c r="A199" s="4">
        <f>"119133"</f>
        <v/>
      </c>
      <c r="B199" s="4" t="inlineStr">
        <is>
          <t>CHKO373305 / HKOOB36974928</t>
        </is>
      </c>
      <c r="C199" s="4" t="inlineStr">
        <is>
          <t>08/05/2026</t>
        </is>
      </c>
      <c r="D199" s="4" t="n">
        <v/>
      </c>
      <c r="E199" s="4" t="inlineStr">
        <is>
          <t>mayo</t>
        </is>
      </c>
      <c r="F199" s="4" t="n">
        <v>2026</v>
      </c>
      <c r="G199" s="5" t="inlineStr">
        <is>
          <t>LOS ANGELES / TEMUCO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LOS ANGELES / TEMUCO</t>
        </is>
      </c>
      <c r="K199" s="4" t="n">
        <v>1569</v>
      </c>
    </row>
    <row r="200">
      <c r="A200" s="2">
        <f>"119142"</f>
        <v/>
      </c>
      <c r="B200" s="2" t="inlineStr">
        <is>
          <t>CHKO373309 / CHKO373325 / HKOOB36985272</t>
        </is>
      </c>
      <c r="C200" s="2" t="inlineStr">
        <is>
          <t>08/05/2026</t>
        </is>
      </c>
      <c r="D200" s="2" t="n">
        <v/>
      </c>
      <c r="E200" s="2" t="inlineStr">
        <is>
          <t>mayo</t>
        </is>
      </c>
      <c r="F200" s="2" t="n">
        <v>2026</v>
      </c>
      <c r="G200" s="3" t="inlineStr">
        <is>
          <t>ANTOFAGASTA / ARICA</t>
        </is>
      </c>
      <c r="H200" s="3" t="inlineStr">
        <is>
          <t>77970090-9/TRANSPORTES DONA ISIDORA (LABBE)</t>
        </is>
      </c>
      <c r="I200" s="2" t="n">
        <v>1</v>
      </c>
      <c r="J200" s="3" t="inlineStr">
        <is>
          <t>ANTOFAGASTA / ARICA</t>
        </is>
      </c>
      <c r="K200" s="2" t="n">
        <v>1716</v>
      </c>
    </row>
    <row r="201">
      <c r="A201" s="4">
        <f>"119173"</f>
        <v/>
      </c>
      <c r="B201" s="4" t="inlineStr">
        <is>
          <t>CHKO373624 / HKOOB37011942</t>
        </is>
      </c>
      <c r="C201" s="4" t="inlineStr">
        <is>
          <t>11/05/2026</t>
        </is>
      </c>
      <c r="D201" s="4" t="n">
        <v/>
      </c>
      <c r="E201" s="4" t="inlineStr">
        <is>
          <t>mayo</t>
        </is>
      </c>
      <c r="F201" s="4" t="n">
        <v>2026</v>
      </c>
      <c r="G201" s="5" t="inlineStr">
        <is>
          <t>PTO MONTT / VALDIVIA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PTO MONTT / VALDIVIA</t>
        </is>
      </c>
      <c r="K201" s="4" t="n">
        <v>1664</v>
      </c>
    </row>
    <row r="202">
      <c r="A202" s="2">
        <f>"119195"</f>
        <v/>
      </c>
      <c r="B202" s="2" t="inlineStr">
        <is>
          <t>CHKO373384 / HKOOB37037365</t>
        </is>
      </c>
      <c r="C202" s="2" t="inlineStr">
        <is>
          <t>12/05/2026</t>
        </is>
      </c>
      <c r="D202" s="2" t="n">
        <v/>
      </c>
      <c r="E202" s="2" t="inlineStr">
        <is>
          <t>mayo</t>
        </is>
      </c>
      <c r="F202" s="2" t="n">
        <v>2026</v>
      </c>
      <c r="G202" s="3" t="inlineStr">
        <is>
          <t>ANTOFAGASTA / IQUIQUE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ANTOFAGASTA / IQUIQUE</t>
        </is>
      </c>
      <c r="K202" s="2" t="n">
        <v>1786</v>
      </c>
    </row>
    <row r="203">
      <c r="A203" s="4" t="inlineStr">
        <is>
          <t>LAS</t>
        </is>
      </c>
      <c r="B203" s="4" t="inlineStr">
        <is>
          <t>HKOOB36985602 / HKOOB36985610 / HKOOB36991771 / HKOOB36991772 / HKOOB36997597 / HKOOB36997604 / HKOOB37004439 / HKOOB37004444 / HKOOB37004446</t>
        </is>
      </c>
      <c r="C203" s="4" t="inlineStr">
        <is>
          <t>12/05/2026</t>
        </is>
      </c>
      <c r="D203" s="4" t="n">
        <v/>
      </c>
      <c r="E203" s="4" t="inlineStr">
        <is>
          <t>mayo</t>
        </is>
      </c>
      <c r="F203" s="4" t="n">
        <v>2026</v>
      </c>
      <c r="G203" s="5" t="inlineStr">
        <is>
          <t>LO ESPEJO / VINA DEL MAR</t>
        </is>
      </c>
      <c r="H203" s="5" t="inlineStr">
        <is>
          <t>SIN PROVEEDOR</t>
        </is>
      </c>
      <c r="I203" s="4" t="n">
        <v>1</v>
      </c>
      <c r="J203" s="5" t="inlineStr">
        <is>
          <t>LO ESPEJO / VINA DEL MAR</t>
        </is>
      </c>
      <c r="K203" s="4" t="n">
        <v>11269</v>
      </c>
    </row>
  </sheetData>
  <autoFilter ref="A1:K2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2026-05-13T04:04:41Z</dcterms:created>
  <dcterms:modified xmlns:dcterms="http://purl.org/dc/terms/" xmlns:xsi="http://www.w3.org/2001/XMLSchema-instance" xsi:type="dcterms:W3CDTF">2026-05-13T04:04:41Z</dcterms:modified>
</cp:coreProperties>
</file>