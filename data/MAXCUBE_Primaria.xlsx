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"119203"</f>
        <v/>
      </c>
      <c r="B209" s="4" t="inlineStr">
        <is>
          <t>HKOOB37046791</t>
        </is>
      </c>
      <c r="C209" s="4" t="inlineStr">
        <is>
          <t>12/05/2026</t>
        </is>
      </c>
      <c r="D209" s="4" t="inlineStr">
        <is>
          <t>20:19:26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1762</v>
      </c>
    </row>
    <row r="210">
      <c r="A210" s="2">
        <f>"119204"</f>
        <v/>
      </c>
      <c r="B210" s="2" t="inlineStr">
        <is>
          <t>HKOOB37035193</t>
        </is>
      </c>
      <c r="C210" s="2" t="inlineStr">
        <is>
          <t>12/05/2026</t>
        </is>
      </c>
      <c r="D210" s="2" t="inlineStr">
        <is>
          <t>21:24:22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1637</v>
      </c>
    </row>
    <row r="211">
      <c r="A211" s="4">
        <f>"119205"</f>
        <v/>
      </c>
      <c r="B211" s="4" t="inlineStr">
        <is>
          <t>HKOOB37035190</t>
        </is>
      </c>
      <c r="C211" s="4" t="inlineStr">
        <is>
          <t>12/05/2026</t>
        </is>
      </c>
      <c r="D211" s="4" t="inlineStr">
        <is>
          <t>21:33:27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CONCEPCION</t>
        </is>
      </c>
      <c r="K211" s="4" t="n">
        <v>2077</v>
      </c>
    </row>
    <row r="212">
      <c r="A212" s="2">
        <f>"119206"</f>
        <v/>
      </c>
      <c r="B212" s="2" t="inlineStr">
        <is>
          <t>HKOOB37043856</t>
        </is>
      </c>
      <c r="C212" s="2" t="inlineStr">
        <is>
          <t>12/05/2026</t>
        </is>
      </c>
      <c r="D212" s="2" t="inlineStr">
        <is>
          <t>21:50:24</t>
        </is>
      </c>
      <c r="E212" s="2" t="inlineStr">
        <is>
          <t>mayo</t>
        </is>
      </c>
      <c r="F212" s="2" t="n">
        <v>2026</v>
      </c>
      <c r="G212" s="3" t="inlineStr">
        <is>
          <t>LA SERENA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</t>
        </is>
      </c>
      <c r="K212" s="2" t="n">
        <v>1878</v>
      </c>
    </row>
    <row r="213">
      <c r="A213" s="4">
        <f>"119063"</f>
        <v/>
      </c>
      <c r="B213" s="4" t="inlineStr">
        <is>
          <t>CHKO372624 / CHKO372646</t>
        </is>
      </c>
      <c r="C213" s="4" t="inlineStr">
        <is>
          <t>05/05/2026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CONCEPCION / LOS ANGELES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CONCEPCION / LOS ANGELES</t>
        </is>
      </c>
      <c r="K213" s="4" t="n">
        <v>1625</v>
      </c>
    </row>
    <row r="214">
      <c r="A214" s="2">
        <f>"119069"</f>
        <v/>
      </c>
      <c r="B214" s="2" t="inlineStr">
        <is>
          <t>CHKO372804 / CHKO372827</t>
        </is>
      </c>
      <c r="C214" s="2" t="inlineStr">
        <is>
          <t>05/05/2026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1543</v>
      </c>
    </row>
    <row r="215">
      <c r="A215" s="4">
        <f>"119087"</f>
        <v/>
      </c>
      <c r="B215" s="4" t="inlineStr">
        <is>
          <t>CHKO372924 / HKOOB36982949</t>
        </is>
      </c>
      <c r="C215" s="4" t="inlineStr">
        <is>
          <t>06/05/2026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1868</v>
      </c>
    </row>
    <row r="216">
      <c r="A216" s="2">
        <f>"119112"</f>
        <v/>
      </c>
      <c r="B216" s="2" t="inlineStr">
        <is>
          <t>HKOOB36994400 / HKOOB36994408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1247</v>
      </c>
    </row>
    <row r="217">
      <c r="A217" s="4">
        <f>"119113"</f>
        <v/>
      </c>
      <c r="B217" s="4" t="inlineStr">
        <is>
          <t>CHKO373144 / HKOOB36991739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CHILLAN / 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 / TALCA</t>
        </is>
      </c>
      <c r="K217" s="4" t="n">
        <v>1626</v>
      </c>
    </row>
    <row r="218">
      <c r="A218" s="2">
        <f>"119118"</f>
        <v/>
      </c>
      <c r="B218" s="2" t="inlineStr">
        <is>
          <t>CHKO373029 / CHKO373166 / HKOOB36991777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1570</v>
      </c>
    </row>
    <row r="219">
      <c r="A219" s="4">
        <f>"119133"</f>
        <v/>
      </c>
      <c r="B219" s="4" t="inlineStr">
        <is>
          <t>CHKO373305 / HKOOB36974928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1569</v>
      </c>
    </row>
    <row r="220">
      <c r="A220" s="2">
        <f>"119142"</f>
        <v/>
      </c>
      <c r="B220" s="2" t="inlineStr">
        <is>
          <t>CHKO373309 / CHKO373325 / HKOOB36985272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1716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 t="inlineStr">
        <is>
          <t>LAS</t>
        </is>
      </c>
      <c r="B223" s="4" t="inlineStr">
        <is>
          <t>HKOOB36985602 / HKOOB36985610 / HKOOB36991771 / HKOOB36991772 / HKOOB36997597 / HKOOB36997604 / HKOOB37004439 / HKOOB37004444 / HKOOB37004446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 ESPEJO / VINA DEL MAR</t>
        </is>
      </c>
      <c r="H223" s="5" t="inlineStr">
        <is>
          <t>SIN PROVEEDOR</t>
        </is>
      </c>
      <c r="I223" s="4" t="n">
        <v>1</v>
      </c>
      <c r="J223" s="5" t="inlineStr">
        <is>
          <t>LO ESPEJO / VINA DEL MAR</t>
        </is>
      </c>
      <c r="K223" s="4" t="n">
        <v>11269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2026-05-13T03:43:30Z</dcterms:created>
  <dcterms:modified xmlns:dcterms="http://purl.org/dc/terms/" xmlns:xsi="http://www.w3.org/2001/XMLSchema-instance" xsi:type="dcterms:W3CDTF">2026-05-13T03:43:30Z</dcterms:modified>
</cp:coreProperties>
</file>