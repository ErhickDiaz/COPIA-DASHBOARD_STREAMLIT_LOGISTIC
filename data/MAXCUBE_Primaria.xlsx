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"119333"</f>
        <v/>
      </c>
      <c r="B215" s="4" t="inlineStr">
        <is>
          <t>HKOOB37077213</t>
        </is>
      </c>
      <c r="C215" s="4" t="inlineStr">
        <is>
          <t>19/05/2026</t>
        </is>
      </c>
      <c r="D215" s="4" t="inlineStr">
        <is>
          <t>16:54:50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</t>
        </is>
      </c>
      <c r="K215" s="4" t="n">
        <v>1782</v>
      </c>
    </row>
    <row r="216">
      <c r="A216" s="2">
        <f>"38913"</f>
        <v/>
      </c>
      <c r="B216" s="2" t="inlineStr">
        <is>
          <t>HKOOB37075689</t>
        </is>
      </c>
      <c r="C216" s="2" t="inlineStr">
        <is>
          <t>19/05/2026</t>
        </is>
      </c>
      <c r="D216" s="2" t="inlineStr">
        <is>
          <t>17:00:14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1356</v>
      </c>
    </row>
    <row r="217">
      <c r="A217" s="4">
        <f>"38923"</f>
        <v/>
      </c>
      <c r="B217" s="4" t="inlineStr">
        <is>
          <t>HKOOB37075690</t>
        </is>
      </c>
      <c r="C217" s="4" t="inlineStr">
        <is>
          <t>19/05/2026</t>
        </is>
      </c>
      <c r="D217" s="4" t="inlineStr">
        <is>
          <t>18:16:36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1111</v>
      </c>
    </row>
    <row r="218">
      <c r="A218" s="2">
        <f>"119334"</f>
        <v/>
      </c>
      <c r="B218" s="2" t="inlineStr">
        <is>
          <t>HKOOB37075210</t>
        </is>
      </c>
      <c r="C218" s="2" t="inlineStr">
        <is>
          <t>19/05/2026</t>
        </is>
      </c>
      <c r="D218" s="2" t="inlineStr">
        <is>
          <t>18:25:20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2113</v>
      </c>
    </row>
    <row r="219">
      <c r="A219" s="4">
        <f>"119335"</f>
        <v/>
      </c>
      <c r="B219" s="4" t="inlineStr">
        <is>
          <t>HKOOB37075206</t>
        </is>
      </c>
      <c r="C219" s="4" t="inlineStr">
        <is>
          <t>19/05/2026</t>
        </is>
      </c>
      <c r="D219" s="4" t="inlineStr">
        <is>
          <t>19:06:46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1448</v>
      </c>
    </row>
    <row r="220">
      <c r="A220" s="2">
        <f>"38928"</f>
        <v/>
      </c>
      <c r="B220" s="2" t="inlineStr">
        <is>
          <t>HKOOB37075691</t>
        </is>
      </c>
      <c r="C220" s="2" t="inlineStr">
        <is>
          <t>19/05/2026</t>
        </is>
      </c>
      <c r="D220" s="2" t="inlineStr">
        <is>
          <t>19:15:44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1288</v>
      </c>
    </row>
    <row r="221">
      <c r="A221" s="4">
        <f>"38929"</f>
        <v/>
      </c>
      <c r="B221" s="4" t="inlineStr">
        <is>
          <t>HKOOB37075703</t>
        </is>
      </c>
      <c r="C221" s="4" t="inlineStr">
        <is>
          <t>19/05/2026</t>
        </is>
      </c>
      <c r="D221" s="4" t="inlineStr">
        <is>
          <t>19:50:16</t>
        </is>
      </c>
      <c r="E221" s="4" t="inlineStr">
        <is>
          <t>mayo</t>
        </is>
      </c>
      <c r="F221" s="4" t="n">
        <v>2026</v>
      </c>
      <c r="G221" s="5" t="inlineStr">
        <is>
          <t>EL PINAR</t>
        </is>
      </c>
      <c r="H221" s="5" t="inlineStr">
        <is>
          <t>SIN PROVEEDOR</t>
        </is>
      </c>
      <c r="I221" s="4" t="n">
        <v>1</v>
      </c>
      <c r="J221" s="5" t="inlineStr">
        <is>
          <t>EL PINAR</t>
        </is>
      </c>
      <c r="K221" s="4" t="n">
        <v>1164</v>
      </c>
    </row>
    <row r="222">
      <c r="A222" s="2">
        <f>"119336"</f>
        <v/>
      </c>
      <c r="B222" s="2" t="inlineStr">
        <is>
          <t>HKOOB37075214</t>
        </is>
      </c>
      <c r="C222" s="2" t="inlineStr">
        <is>
          <t>19/05/2026</t>
        </is>
      </c>
      <c r="D222" s="2" t="inlineStr">
        <is>
          <t>19:52:28</t>
        </is>
      </c>
      <c r="E222" s="2" t="inlineStr">
        <is>
          <t>mayo</t>
        </is>
      </c>
      <c r="F222" s="2" t="n">
        <v>2026</v>
      </c>
      <c r="G222" s="3" t="inlineStr">
        <is>
          <t>CHILLAN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CHILLAN</t>
        </is>
      </c>
      <c r="K222" s="2" t="n">
        <v>1738</v>
      </c>
    </row>
    <row r="223">
      <c r="A223" s="4">
        <f>"119337"</f>
        <v/>
      </c>
      <c r="B223" s="4" t="inlineStr">
        <is>
          <t>HKOOB37077851</t>
        </is>
      </c>
      <c r="C223" s="4" t="inlineStr">
        <is>
          <t>19/05/2026</t>
        </is>
      </c>
      <c r="D223" s="4" t="inlineStr">
        <is>
          <t>20:38:08</t>
        </is>
      </c>
      <c r="E223" s="4" t="inlineStr">
        <is>
          <t>mayo</t>
        </is>
      </c>
      <c r="F223" s="4" t="n">
        <v>2026</v>
      </c>
      <c r="G223" s="5" t="inlineStr">
        <is>
          <t>SAN FERNANDO</t>
        </is>
      </c>
      <c r="H223" s="5" t="inlineStr">
        <is>
          <t>76252773-1/GARATE Y GARATE LIMITADA</t>
        </is>
      </c>
      <c r="I223" s="4" t="n">
        <v>1</v>
      </c>
      <c r="J223" s="5" t="inlineStr">
        <is>
          <t>SAN FERNANDO</t>
        </is>
      </c>
      <c r="K223" s="4" t="n">
        <v>557</v>
      </c>
    </row>
    <row r="224">
      <c r="A224" s="2">
        <f>"119338"</f>
        <v/>
      </c>
      <c r="B224" s="2" t="inlineStr">
        <is>
          <t>HKOOB37075698</t>
        </is>
      </c>
      <c r="C224" s="2" t="inlineStr">
        <is>
          <t>19/05/2026</t>
        </is>
      </c>
      <c r="D224" s="2" t="inlineStr">
        <is>
          <t>21:39:15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1614</v>
      </c>
    </row>
    <row r="225">
      <c r="A225" s="4">
        <f>"119173"</f>
        <v/>
      </c>
      <c r="B225" s="4" t="inlineStr">
        <is>
          <t>CHKO373624 / HKOOB37011942</t>
        </is>
      </c>
      <c r="C225" s="4" t="inlineStr">
        <is>
          <t>11/05/2026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1664</v>
      </c>
    </row>
    <row r="226">
      <c r="A226" s="2">
        <f>"119195"</f>
        <v/>
      </c>
      <c r="B226" s="2" t="inlineStr">
        <is>
          <t>CHKO373384 / HKOOB37037365</t>
        </is>
      </c>
      <c r="C226" s="2" t="inlineStr">
        <is>
          <t>12/05/2026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IQUIQUE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ANTOFAGASTA / IQUIQUE</t>
        </is>
      </c>
      <c r="K226" s="2" t="n">
        <v>1786</v>
      </c>
    </row>
    <row r="227">
      <c r="A227" s="4">
        <f>"119212"</f>
        <v/>
      </c>
      <c r="B227" s="4" t="inlineStr">
        <is>
          <t>CHKO373745 / HKOOB37043861</t>
        </is>
      </c>
      <c r="C227" s="4" t="inlineStr">
        <is>
          <t>13/05/2026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1739</v>
      </c>
    </row>
    <row r="228">
      <c r="A228" s="2">
        <f>"119239"</f>
        <v/>
      </c>
      <c r="B228" s="2" t="inlineStr">
        <is>
          <t>CHKO373825 / CHKO373844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1679</v>
      </c>
    </row>
    <row r="229">
      <c r="A229" s="4">
        <f>"119243"</f>
        <v/>
      </c>
      <c r="B229" s="4" t="inlineStr">
        <is>
          <t>CHKO373749 / CHKO373845</t>
        </is>
      </c>
      <c r="C229" s="4" t="inlineStr">
        <is>
          <t>14/05/2026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SAN FERNANDO / TALCA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SAN FERNANDO / TALCA</t>
        </is>
      </c>
      <c r="K229" s="4" t="n">
        <v>1627</v>
      </c>
    </row>
    <row r="230">
      <c r="A230" s="2">
        <f>"119255"</f>
        <v/>
      </c>
      <c r="B230" s="2" t="inlineStr">
        <is>
          <t>CHKO373695 / CHKO373826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 / TEMUCO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 / TEMUCO</t>
        </is>
      </c>
      <c r="K230" s="2" t="n">
        <v>1532</v>
      </c>
    </row>
    <row r="231">
      <c r="A231" s="4">
        <f>"119258"</f>
        <v/>
      </c>
      <c r="B231" s="4" t="inlineStr">
        <is>
          <t>CHKO373754 / CHKO373867 / CHKO373905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1708</v>
      </c>
    </row>
    <row r="232">
      <c r="A232" s="2">
        <f>"119261"</f>
        <v/>
      </c>
      <c r="B232" s="2" t="inlineStr">
        <is>
          <t>HKOOB37052768 / HKOOB37058514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1605</v>
      </c>
    </row>
    <row r="233">
      <c r="A233" s="4">
        <f>"119283"</f>
        <v/>
      </c>
      <c r="B233" s="4" t="inlineStr">
        <is>
          <t>CHKO373697 / CHKO373925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1600</v>
      </c>
    </row>
    <row r="234">
      <c r="A234" s="2">
        <f>"119286"</f>
        <v/>
      </c>
      <c r="B234" s="2" t="inlineStr">
        <is>
          <t>HKOOB37063239 / HKOOB37066332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TALCA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TALCA</t>
        </is>
      </c>
      <c r="K234" s="2" t="n">
        <v>1544</v>
      </c>
    </row>
    <row r="235">
      <c r="A235" s="4">
        <f>"119288"</f>
        <v/>
      </c>
      <c r="B235" s="4" t="inlineStr">
        <is>
          <t>CHKO373986 / HKOOB37063246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</t>
        </is>
      </c>
      <c r="K235" s="4" t="n">
        <v>1682</v>
      </c>
    </row>
    <row r="236">
      <c r="A236" s="2">
        <f>"119290"</f>
        <v/>
      </c>
      <c r="B236" s="2" t="inlineStr">
        <is>
          <t>CHKO373949 / HKOOB37037366</t>
        </is>
      </c>
      <c r="C236" s="2" t="inlineStr">
        <is>
          <t>16/05/2026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719</v>
      </c>
    </row>
    <row r="237">
      <c r="A237" s="4">
        <f>"119299"</f>
        <v/>
      </c>
      <c r="B237" s="4" t="inlineStr">
        <is>
          <t>CHKO373702 / CHKO373911 / CHKO374004</t>
        </is>
      </c>
      <c r="C237" s="4" t="inlineStr">
        <is>
          <t>17/05/2026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VALDIVIA</t>
        </is>
      </c>
      <c r="K237" s="4" t="n">
        <v>1953</v>
      </c>
    </row>
    <row r="238">
      <c r="A238" s="2">
        <f>"119301"</f>
        <v/>
      </c>
      <c r="B238" s="2" t="inlineStr">
        <is>
          <t>CHKO374005 / HKOOB37066348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ARICA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ARICA</t>
        </is>
      </c>
      <c r="K238" s="2" t="n">
        <v>1701</v>
      </c>
    </row>
    <row r="239">
      <c r="A239" s="4">
        <f>"119302"</f>
        <v/>
      </c>
      <c r="B239" s="4" t="inlineStr">
        <is>
          <t>HKOOB37066351 / HKOOB37066352</t>
        </is>
      </c>
      <c r="C239" s="4" t="inlineStr">
        <is>
          <t>17/05/2026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</t>
        </is>
      </c>
      <c r="H239" s="5" t="inlineStr">
        <is>
          <t>76746317-0/TRAILER LOGISTICS SPA</t>
        </is>
      </c>
      <c r="I239" s="4" t="n">
        <v>1</v>
      </c>
      <c r="J239" s="5" t="inlineStr">
        <is>
          <t>ANTOFAGASTA</t>
        </is>
      </c>
      <c r="K239" s="4" t="n">
        <v>2102</v>
      </c>
    </row>
    <row r="240">
      <c r="A240" s="2">
        <f>"119304"</f>
        <v/>
      </c>
      <c r="B240" s="2" t="inlineStr">
        <is>
          <t>HKOOB37066334 / HKOOB37066339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COPIAPO / LA SERENA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COPIAPO / LA SERENA</t>
        </is>
      </c>
      <c r="K240" s="2" t="n">
        <v>1619</v>
      </c>
    </row>
    <row r="241">
      <c r="A241" s="4">
        <f>"119308"</f>
        <v/>
      </c>
      <c r="B241" s="4" t="inlineStr">
        <is>
          <t>CHKO373703 / CHKO373952 / CHKO374066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1657</v>
      </c>
    </row>
    <row r="242">
      <c r="A242" s="2">
        <f>"119318"</f>
        <v/>
      </c>
      <c r="B242" s="2" t="inlineStr">
        <is>
          <t>CHKO373953 / HKOOB37075213</t>
        </is>
      </c>
      <c r="C242" s="2" t="inlineStr">
        <is>
          <t>18/05/2026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PTO MONTT / VALDIVIA</t>
        </is>
      </c>
      <c r="K242" s="2" t="n">
        <v>1380</v>
      </c>
    </row>
    <row r="243">
      <c r="A243" s="4" t="inlineStr">
        <is>
          <t>LAS</t>
        </is>
      </c>
      <c r="B243" s="4" t="inlineStr">
        <is>
          <t>HKOOB37058740 / HKOOB37058741 / HKOOB37063774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EL PINAR / LO ESPEJO</t>
        </is>
      </c>
      <c r="H243" s="5" t="inlineStr">
        <is>
          <t>SIN PROVEEDOR</t>
        </is>
      </c>
      <c r="I243" s="4" t="n">
        <v>1</v>
      </c>
      <c r="J243" s="5" t="inlineStr">
        <is>
          <t>EL PINAR / LO ESPEJO</t>
        </is>
      </c>
      <c r="K243" s="4" t="n">
        <v>3493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2026-05-20T02:30:36Z</dcterms:created>
  <dcterms:modified xmlns:dcterms="http://purl.org/dc/terms/" xmlns:xsi="http://www.w3.org/2001/XMLSchema-instance" xsi:type="dcterms:W3CDTF">2026-05-20T02:30:36Z</dcterms:modified>
</cp:coreProperties>
</file>