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"119087"</f>
        <v/>
      </c>
      <c r="B226" s="2" t="inlineStr">
        <is>
          <t>CHKO372924 / HKOOB36982949</t>
        </is>
      </c>
      <c r="C226" s="2" t="inlineStr">
        <is>
          <t>06/05/2026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1868</v>
      </c>
    </row>
    <row r="227">
      <c r="A227" s="4">
        <f>"119112"</f>
        <v/>
      </c>
      <c r="B227" s="4" t="inlineStr">
        <is>
          <t>HKOOB36994400 / HKOOB36994408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PTO MONTT / VALDIVIA</t>
        </is>
      </c>
      <c r="K227" s="4" t="n">
        <v>1247</v>
      </c>
    </row>
    <row r="228">
      <c r="A228" s="2">
        <f>"119113"</f>
        <v/>
      </c>
      <c r="B228" s="2" t="inlineStr">
        <is>
          <t>CHKO373144 / HKOOB36991739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CHILLAN / TALCA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CHILLAN / TALCA</t>
        </is>
      </c>
      <c r="K228" s="2" t="n">
        <v>1626</v>
      </c>
    </row>
    <row r="229">
      <c r="A229" s="4">
        <f>"119118"</f>
        <v/>
      </c>
      <c r="B229" s="4" t="inlineStr">
        <is>
          <t>CHKO373029 / CHKO373166 / HKOOB36991777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1570</v>
      </c>
    </row>
    <row r="230">
      <c r="A230" s="2">
        <f>"119142"</f>
        <v/>
      </c>
      <c r="B230" s="2" t="inlineStr">
        <is>
          <t>CHKO373309 / CHKO373325 / HKOOB36985272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1716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>
        <f>"119239"</f>
        <v/>
      </c>
      <c r="B234" s="2" t="inlineStr">
        <is>
          <t>CHKO373825 / CHKO373844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1679</v>
      </c>
    </row>
    <row r="235">
      <c r="A235" s="4">
        <f>"119243"</f>
        <v/>
      </c>
      <c r="B235" s="4" t="inlineStr">
        <is>
          <t>CHKO373749 / CHKO373845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SAN FERNANDO / TALCA</t>
        </is>
      </c>
      <c r="H235" s="5" t="inlineStr">
        <is>
          <t>76252773-1/GARATE Y GARATE LIMITADA</t>
        </is>
      </c>
      <c r="I235" s="4" t="n">
        <v>1</v>
      </c>
      <c r="J235" s="5" t="inlineStr">
        <is>
          <t>SAN FERNANDO / TALCA</t>
        </is>
      </c>
      <c r="K235" s="4" t="n">
        <v>1627</v>
      </c>
    </row>
    <row r="236">
      <c r="A236" s="2" t="inlineStr">
        <is>
          <t>LAS</t>
        </is>
      </c>
      <c r="B236" s="2" t="inlineStr">
        <is>
          <t>HKOOB36985602 / HKOOB36985610 / HKOOB36991771 / HKOOB36991772 / HKOOB36997597 / HKOOB36997604 / HKOOB37004439 / HKOOB37004444 / HKOOB37004446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 ESPEJO / VINA DEL MAR</t>
        </is>
      </c>
      <c r="H236" s="3" t="inlineStr">
        <is>
          <t>SIN PROVEEDOR</t>
        </is>
      </c>
      <c r="I236" s="2" t="n">
        <v>1</v>
      </c>
      <c r="J236" s="3" t="inlineStr">
        <is>
          <t>LO ESPEJO / VINA DEL MAR</t>
        </is>
      </c>
      <c r="K236" s="2" t="n">
        <v>11269</v>
      </c>
    </row>
  </sheetData>
  <autoFilter ref="A1:K2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2026-05-15T08:29:45Z</dcterms:created>
  <dcterms:modified xmlns:dcterms="http://purl.org/dc/terms/" xmlns:xsi="http://www.w3.org/2001/XMLSchema-instance" xsi:type="dcterms:W3CDTF">2026-05-15T08:29:45Z</dcterms:modified>
</cp:coreProperties>
</file>