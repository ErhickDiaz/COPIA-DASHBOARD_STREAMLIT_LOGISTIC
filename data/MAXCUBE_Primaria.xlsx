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"38785"</f>
        <v/>
      </c>
      <c r="B218" s="2" t="inlineStr">
        <is>
          <t>HKOOB37067758</t>
        </is>
      </c>
      <c r="C218" s="2" t="inlineStr">
        <is>
          <t>18/05/2026</t>
        </is>
      </c>
      <c r="D218" s="2" t="inlineStr">
        <is>
          <t>20:43:37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1363</v>
      </c>
    </row>
    <row r="219">
      <c r="A219" s="4">
        <f>"119317"</f>
        <v/>
      </c>
      <c r="B219" s="4" t="inlineStr">
        <is>
          <t>CHKO374026</t>
        </is>
      </c>
      <c r="C219" s="4" t="inlineStr">
        <is>
          <t>18/05/2026</t>
        </is>
      </c>
      <c r="D219" s="4" t="inlineStr">
        <is>
          <t>21:05:26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1928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>
        <f>"119283"</f>
        <v/>
      </c>
      <c r="B229" s="4" t="inlineStr">
        <is>
          <t>CHKO373697 / CHKO373925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1600</v>
      </c>
    </row>
    <row r="230">
      <c r="A230" s="2">
        <f>"119286"</f>
        <v/>
      </c>
      <c r="B230" s="2" t="inlineStr">
        <is>
          <t>HKOOB37063239 / HKOOB37066332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1544</v>
      </c>
    </row>
    <row r="231">
      <c r="A231" s="4">
        <f>"119288"</f>
        <v/>
      </c>
      <c r="B231" s="4" t="inlineStr">
        <is>
          <t>CHKO373986 / HKOOB37063246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</t>
        </is>
      </c>
      <c r="K231" s="4" t="n">
        <v>1682</v>
      </c>
    </row>
    <row r="232">
      <c r="A232" s="2">
        <f>"119290"</f>
        <v/>
      </c>
      <c r="B232" s="2" t="inlineStr">
        <is>
          <t>CHKO373949 / HKOOB37037366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719</v>
      </c>
    </row>
    <row r="233">
      <c r="A233" s="4">
        <f>"119299"</f>
        <v/>
      </c>
      <c r="B233" s="4" t="inlineStr">
        <is>
          <t>CHKO373702 / CHKO373911 / CHKO374004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1953</v>
      </c>
    </row>
    <row r="234">
      <c r="A234" s="2">
        <f>"119301"</f>
        <v/>
      </c>
      <c r="B234" s="2" t="inlineStr">
        <is>
          <t>CHKO374005 / HKOOB37066348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1701</v>
      </c>
    </row>
    <row r="235">
      <c r="A235" s="4">
        <f>"119302"</f>
        <v/>
      </c>
      <c r="B235" s="4" t="inlineStr">
        <is>
          <t>HKOOB37066351 / HKOOB37066352</t>
        </is>
      </c>
      <c r="C235" s="4" t="inlineStr">
        <is>
          <t>17/05/2026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76746317-0/TRAILER LOGISTICS SPA</t>
        </is>
      </c>
      <c r="I235" s="4" t="n">
        <v>1</v>
      </c>
      <c r="J235" s="5" t="inlineStr">
        <is>
          <t>ANTOFAGASTA</t>
        </is>
      </c>
      <c r="K235" s="4" t="n">
        <v>2102</v>
      </c>
    </row>
    <row r="236">
      <c r="A236" s="2">
        <f>"119304"</f>
        <v/>
      </c>
      <c r="B236" s="2" t="inlineStr">
        <is>
          <t>HKOOB37066334 / HKOOB37066339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1619</v>
      </c>
    </row>
    <row r="237">
      <c r="A237" s="4">
        <f>"119308"</f>
        <v/>
      </c>
      <c r="B237" s="4" t="inlineStr">
        <is>
          <t>CHKO373703 / CHKO373952 / CHKO374066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1657</v>
      </c>
    </row>
    <row r="238">
      <c r="A238" s="2">
        <f>"119318"</f>
        <v/>
      </c>
      <c r="B238" s="2" t="inlineStr">
        <is>
          <t>CHKO373953 / HKOOB37075213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1380</v>
      </c>
    </row>
    <row r="239">
      <c r="A239" s="4" t="inlineStr">
        <is>
          <t>LAS</t>
        </is>
      </c>
      <c r="B239" s="4" t="inlineStr">
        <is>
          <t>HKOOB37004439 / HKOOB37004444 / HKOOB37004446 / HKOOB37058740 / HKOOB37058741 / HKOOB37063774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EL PINAR / LO ESPEJO</t>
        </is>
      </c>
      <c r="H239" s="5" t="inlineStr">
        <is>
          <t>SIN PROVEEDOR</t>
        </is>
      </c>
      <c r="I239" s="4" t="n">
        <v>1</v>
      </c>
      <c r="J239" s="5" t="inlineStr">
        <is>
          <t>EL PINAR / LO ESPEJO</t>
        </is>
      </c>
      <c r="K239" s="4" t="n">
        <v>6101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2026-05-19T02:28:26Z</dcterms:created>
  <dcterms:modified xmlns:dcterms="http://purl.org/dc/terms/" xmlns:xsi="http://www.w3.org/2001/XMLSchema-instance" xsi:type="dcterms:W3CDTF">2026-05-19T02:28:26Z</dcterms:modified>
</cp:coreProperties>
</file>