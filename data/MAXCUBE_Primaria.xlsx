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"38750"</f>
        <v/>
      </c>
      <c r="B209" s="4" t="inlineStr">
        <is>
          <t>HKOOB37067757</t>
        </is>
      </c>
      <c r="C209" s="4" t="inlineStr">
        <is>
          <t>18/05/2026</t>
        </is>
      </c>
      <c r="D209" s="4" t="inlineStr">
        <is>
          <t>15:18:29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1410</v>
      </c>
    </row>
    <row r="210">
      <c r="A210" s="2">
        <f>"119307"</f>
        <v/>
      </c>
      <c r="B210" s="2" t="inlineStr">
        <is>
          <t>CHKO374025</t>
        </is>
      </c>
      <c r="C210" s="2" t="inlineStr">
        <is>
          <t>18/05/2026</t>
        </is>
      </c>
      <c r="D210" s="2" t="inlineStr">
        <is>
          <t>15:29:26</t>
        </is>
      </c>
      <c r="E210" s="2" t="inlineStr">
        <is>
          <t>mayo</t>
        </is>
      </c>
      <c r="F210" s="2" t="n">
        <v>2026</v>
      </c>
      <c r="G210" s="3" t="inlineStr">
        <is>
          <t>COPIAPO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</t>
        </is>
      </c>
      <c r="K210" s="2" t="n">
        <v>1707</v>
      </c>
    </row>
    <row r="211">
      <c r="A211" s="4">
        <f>"119309"</f>
        <v/>
      </c>
      <c r="B211" s="4" t="inlineStr">
        <is>
          <t>HKOOB37067771</t>
        </is>
      </c>
      <c r="C211" s="4" t="inlineStr">
        <is>
          <t>18/05/2026</t>
        </is>
      </c>
      <c r="D211" s="4" t="inlineStr">
        <is>
          <t>16:44:04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1684</v>
      </c>
    </row>
    <row r="212">
      <c r="A212" s="2">
        <f>"119142"</f>
        <v/>
      </c>
      <c r="B212" s="2" t="inlineStr">
        <is>
          <t>CHKO373309 / CHKO373325</t>
        </is>
      </c>
      <c r="C212" s="2" t="inlineStr">
        <is>
          <t>08/05/2026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ANTOFAGASTA / ARICA</t>
        </is>
      </c>
      <c r="H212" s="3" t="inlineStr">
        <is>
          <t>77970090-9/TRANSPORTES DONA ISIDORA (LABBE)</t>
        </is>
      </c>
      <c r="I212" s="2" t="n">
        <v>1</v>
      </c>
      <c r="J212" s="3" t="inlineStr">
        <is>
          <t>ANTOFAGASTA / ARICA</t>
        </is>
      </c>
      <c r="K212" s="2" t="n">
        <v>1380</v>
      </c>
    </row>
    <row r="213">
      <c r="A213" s="4">
        <f>"119173"</f>
        <v/>
      </c>
      <c r="B213" s="4" t="inlineStr">
        <is>
          <t>CHKO373624 / HKOOB37011942</t>
        </is>
      </c>
      <c r="C213" s="4" t="inlineStr">
        <is>
          <t>11/05/2026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1664</v>
      </c>
    </row>
    <row r="214">
      <c r="A214" s="2">
        <f>"119195"</f>
        <v/>
      </c>
      <c r="B214" s="2" t="inlineStr">
        <is>
          <t>CHKO373384 / HKOOB37037365</t>
        </is>
      </c>
      <c r="C214" s="2" t="inlineStr">
        <is>
          <t>12/05/2026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ANTOFAGASTA / IQUIQUE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 / IQUIQUE</t>
        </is>
      </c>
      <c r="K214" s="2" t="n">
        <v>1786</v>
      </c>
    </row>
    <row r="215">
      <c r="A215" s="4">
        <f>"119212"</f>
        <v/>
      </c>
      <c r="B215" s="4" t="inlineStr">
        <is>
          <t>CHKO373745 / HKOOB37043861</t>
        </is>
      </c>
      <c r="C215" s="4" t="inlineStr">
        <is>
          <t>13/05/2026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RUTA SOLITARIA ELPAC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RUTA SOLITARIA ELPAC</t>
        </is>
      </c>
      <c r="K215" s="4" t="n">
        <v>1739</v>
      </c>
    </row>
    <row r="216">
      <c r="A216" s="2">
        <f>"119239"</f>
        <v/>
      </c>
      <c r="B216" s="2" t="inlineStr">
        <is>
          <t>CHKO373825 / CHKO373844</t>
        </is>
      </c>
      <c r="C216" s="2" t="inlineStr">
        <is>
          <t>14/05/2026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VALDIVIA</t>
        </is>
      </c>
      <c r="K216" s="2" t="n">
        <v>1679</v>
      </c>
    </row>
    <row r="217">
      <c r="A217" s="4">
        <f>"119243"</f>
        <v/>
      </c>
      <c r="B217" s="4" t="inlineStr">
        <is>
          <t>CHKO373749 / CHKO373845</t>
        </is>
      </c>
      <c r="C217" s="4" t="inlineStr">
        <is>
          <t>14/05/2026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SAN FERNANDO / TALCA</t>
        </is>
      </c>
      <c r="H217" s="5" t="inlineStr">
        <is>
          <t>76252773-1/GARATE Y GARATE LIMITADA</t>
        </is>
      </c>
      <c r="I217" s="4" t="n">
        <v>1</v>
      </c>
      <c r="J217" s="5" t="inlineStr">
        <is>
          <t>SAN FERNANDO / TALCA</t>
        </is>
      </c>
      <c r="K217" s="4" t="n">
        <v>1627</v>
      </c>
    </row>
    <row r="218">
      <c r="A218" s="2">
        <f>"119255"</f>
        <v/>
      </c>
      <c r="B218" s="2" t="inlineStr">
        <is>
          <t>CHKO373695 / CHKO373826</t>
        </is>
      </c>
      <c r="C218" s="2" t="inlineStr">
        <is>
          <t>15/05/2026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1532</v>
      </c>
    </row>
    <row r="219">
      <c r="A219" s="4">
        <f>"119258"</f>
        <v/>
      </c>
      <c r="B219" s="4" t="inlineStr">
        <is>
          <t>CHKO373754 / CHKO373867 / CHKO373905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LA SERENA / RUTA SOLITARIA 1059 LV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 / RUTA SOLITARIA 1059 LV</t>
        </is>
      </c>
      <c r="K219" s="4" t="n">
        <v>1708</v>
      </c>
    </row>
    <row r="220">
      <c r="A220" s="2">
        <f>"119261"</f>
        <v/>
      </c>
      <c r="B220" s="2" t="inlineStr">
        <is>
          <t>HKOOB37052768 / HKOOB37058514</t>
        </is>
      </c>
      <c r="C220" s="2" t="inlineStr">
        <is>
          <t>15/05/2026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COPIAPO / 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 / LA SERENA</t>
        </is>
      </c>
      <c r="K220" s="2" t="n">
        <v>1605</v>
      </c>
    </row>
    <row r="221">
      <c r="A221" s="4">
        <f>"119283"</f>
        <v/>
      </c>
      <c r="B221" s="4" t="inlineStr">
        <is>
          <t>CHKO373697 / CHKO373925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LOS ANGELES / TEMUCO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LOS ANGELES / TEMUCO</t>
        </is>
      </c>
      <c r="K221" s="4" t="n">
        <v>1600</v>
      </c>
    </row>
    <row r="222">
      <c r="A222" s="2">
        <f>"119286"</f>
        <v/>
      </c>
      <c r="B222" s="2" t="inlineStr">
        <is>
          <t>HKOOB37063239 / HKOOB37066332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TALCA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TALCA</t>
        </is>
      </c>
      <c r="K222" s="2" t="n">
        <v>1544</v>
      </c>
    </row>
    <row r="223">
      <c r="A223" s="4">
        <f>"119288"</f>
        <v/>
      </c>
      <c r="B223" s="4" t="inlineStr">
        <is>
          <t>CHKO373986 / HKOOB37063246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LOS ANGELES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LOS ANGELES</t>
        </is>
      </c>
      <c r="K223" s="4" t="n">
        <v>1682</v>
      </c>
    </row>
    <row r="224">
      <c r="A224" s="2">
        <f>"119290"</f>
        <v/>
      </c>
      <c r="B224" s="2" t="inlineStr">
        <is>
          <t>CHKO373949 / HKOOB37037366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 / IQUIQUE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ANTOFAGASTA / IQUIQUE</t>
        </is>
      </c>
      <c r="K224" s="2" t="n">
        <v>719</v>
      </c>
    </row>
    <row r="225">
      <c r="A225" s="4">
        <f>"119299"</f>
        <v/>
      </c>
      <c r="B225" s="4" t="inlineStr">
        <is>
          <t>CHKO373702 / CHKO373911 / CHKO374004</t>
        </is>
      </c>
      <c r="C225" s="4" t="inlineStr">
        <is>
          <t>17/05/2026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1953</v>
      </c>
    </row>
    <row r="226">
      <c r="A226" s="2">
        <f>"119301"</f>
        <v/>
      </c>
      <c r="B226" s="2" t="inlineStr">
        <is>
          <t>CHKO374005 / HKOOB37066348</t>
        </is>
      </c>
      <c r="C226" s="2" t="inlineStr">
        <is>
          <t>18/05/2026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ARICA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ARICA</t>
        </is>
      </c>
      <c r="K226" s="2" t="n">
        <v>1701</v>
      </c>
    </row>
    <row r="227">
      <c r="A227" s="4">
        <f>"119302"</f>
        <v/>
      </c>
      <c r="B227" s="4" t="inlineStr">
        <is>
          <t>HKOOB37066351 / HKOOB37066352</t>
        </is>
      </c>
      <c r="C227" s="4" t="inlineStr">
        <is>
          <t>17/05/2026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</t>
        </is>
      </c>
      <c r="H227" s="5" t="inlineStr">
        <is>
          <t>76746317-0/TRAILER LOGISTICS SPA</t>
        </is>
      </c>
      <c r="I227" s="4" t="n">
        <v>1</v>
      </c>
      <c r="J227" s="5" t="inlineStr">
        <is>
          <t>ANTOFAGASTA</t>
        </is>
      </c>
      <c r="K227" s="4" t="n">
        <v>2102</v>
      </c>
    </row>
    <row r="228">
      <c r="A228" s="2">
        <f>"119304"</f>
        <v/>
      </c>
      <c r="B228" s="2" t="inlineStr">
        <is>
          <t>HKOOB37066334 / HKOOB37066339</t>
        </is>
      </c>
      <c r="C228" s="2" t="inlineStr">
        <is>
          <t>18/05/2026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COPIAPO / LA SERENA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COPIAPO / LA SERENA</t>
        </is>
      </c>
      <c r="K228" s="2" t="n">
        <v>1619</v>
      </c>
    </row>
    <row r="229">
      <c r="A229" s="4">
        <f>"119308"</f>
        <v/>
      </c>
      <c r="B229" s="4" t="inlineStr">
        <is>
          <t>CHKO373703 / CHKO373952 / CHKO374066</t>
        </is>
      </c>
      <c r="C229" s="4" t="inlineStr">
        <is>
          <t>18/05/2026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1657</v>
      </c>
    </row>
    <row r="230">
      <c r="A230" s="2" t="inlineStr">
        <is>
          <t>LAS</t>
        </is>
      </c>
      <c r="B230" s="2" t="inlineStr">
        <is>
          <t>HKOOB37004439 / HKOOB37004444 / HKOOB37004446 / HKOOB37058740 / HKOOB37058741 / HKOOB37063774</t>
        </is>
      </c>
      <c r="C230" s="2" t="inlineStr">
        <is>
          <t>12/05/2026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EL PINAR / LO ESPEJO</t>
        </is>
      </c>
      <c r="H230" s="3" t="inlineStr">
        <is>
          <t>SIN PROVEEDOR</t>
        </is>
      </c>
      <c r="I230" s="2" t="n">
        <v>1</v>
      </c>
      <c r="J230" s="3" t="inlineStr">
        <is>
          <t>EL PINAR / LO ESPEJO</t>
        </is>
      </c>
      <c r="K230" s="2" t="n">
        <v>6101</v>
      </c>
    </row>
  </sheetData>
  <autoFilter ref="A1:K2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2026-05-18T22:34:16Z</dcterms:created>
  <dcterms:modified xmlns:dcterms="http://purl.org/dc/terms/" xmlns:xsi="http://www.w3.org/2001/XMLSchema-instance" xsi:type="dcterms:W3CDTF">2026-05-18T22:34:17Z</dcterms:modified>
</cp:coreProperties>
</file>