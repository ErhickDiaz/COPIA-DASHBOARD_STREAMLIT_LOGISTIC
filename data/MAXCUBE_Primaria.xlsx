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"119112"</f>
        <v/>
      </c>
      <c r="B226" s="2" t="inlineStr">
        <is>
          <t>HKOOB36994400 / HKOOB36994408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PTO MONTT / VALDIVIA</t>
        </is>
      </c>
      <c r="K226" s="2" t="n">
        <v>1247</v>
      </c>
    </row>
    <row r="227">
      <c r="A227" s="4">
        <f>"119118"</f>
        <v/>
      </c>
      <c r="B227" s="4" t="inlineStr">
        <is>
          <t>CHKO373029 / CHKO373166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592</v>
      </c>
    </row>
    <row r="228">
      <c r="A228" s="2">
        <f>"119142"</f>
        <v/>
      </c>
      <c r="B228" s="2" t="inlineStr">
        <is>
          <t>CHKO373309 / CHKO373325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1380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>
        <f>"119239"</f>
        <v/>
      </c>
      <c r="B232" s="2" t="inlineStr">
        <is>
          <t>CHKO373825 / CHKO373844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1679</v>
      </c>
    </row>
    <row r="233">
      <c r="A233" s="4">
        <f>"119243"</f>
        <v/>
      </c>
      <c r="B233" s="4" t="inlineStr">
        <is>
          <t>CHKO373749 / CHKO373845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SAN FERNANDO / TALCA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 / TALCA</t>
        </is>
      </c>
      <c r="K233" s="4" t="n">
        <v>1627</v>
      </c>
    </row>
    <row r="234">
      <c r="A234" s="2">
        <f>"119255"</f>
        <v/>
      </c>
      <c r="B234" s="2" t="inlineStr">
        <is>
          <t>CHKO373695 / CHKO373826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 / TEMUCO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 / TEMUCO</t>
        </is>
      </c>
      <c r="K234" s="2" t="n">
        <v>1532</v>
      </c>
    </row>
    <row r="235">
      <c r="A235" s="4">
        <f>"119258"</f>
        <v/>
      </c>
      <c r="B235" s="4" t="inlineStr">
        <is>
          <t>CHKO373754 / CHKO373867 / CHKO373905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1708</v>
      </c>
    </row>
    <row r="236">
      <c r="A236" s="2">
        <f>"119261"</f>
        <v/>
      </c>
      <c r="B236" s="2" t="inlineStr">
        <is>
          <t>HKOOB37052768 / HKOOB37058514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1605</v>
      </c>
    </row>
    <row r="237">
      <c r="A237" s="4">
        <f>"119283"</f>
        <v/>
      </c>
      <c r="B237" s="4" t="inlineStr">
        <is>
          <t>CHKO373697 / CHKO373925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1600</v>
      </c>
    </row>
    <row r="238">
      <c r="A238" s="2">
        <f>"119286"</f>
        <v/>
      </c>
      <c r="B238" s="2" t="inlineStr">
        <is>
          <t>HKOOB37063239 / HKOOB37066332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TALCA</t>
        </is>
      </c>
      <c r="K238" s="2" t="n">
        <v>1544</v>
      </c>
    </row>
    <row r="239">
      <c r="A239" s="4">
        <f>"119288"</f>
        <v/>
      </c>
      <c r="B239" s="4" t="inlineStr">
        <is>
          <t>CHKO373986 / HKOOB37063246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1682</v>
      </c>
    </row>
    <row r="240">
      <c r="A240" s="2">
        <f>"119290"</f>
        <v/>
      </c>
      <c r="B240" s="2" t="inlineStr">
        <is>
          <t>CHKO373949 / HKOOB37037366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719</v>
      </c>
    </row>
    <row r="241">
      <c r="A241" s="4" t="inlineStr">
        <is>
          <t>LAS</t>
        </is>
      </c>
      <c r="B241" s="4" t="inlineStr">
        <is>
          <t>HKOOB36997597 / HKOOB36997604 / HKOOB37004439 / HKOOB37004444 / HKOOB37004446 / HKOOB37058740 / HKOOB37058741 / HKOOB37063774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EL PINAR / 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EL PINAR / LO ESPEJO / VINA DEL MAR</t>
        </is>
      </c>
      <c r="K241" s="4" t="n">
        <v>9403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2026-05-17T05:52:50Z</dcterms:created>
  <dcterms:modified xmlns:dcterms="http://purl.org/dc/terms/" xmlns:xsi="http://www.w3.org/2001/XMLSchema-instance" xsi:type="dcterms:W3CDTF">2026-05-17T05:52:50Z</dcterms:modified>
</cp:coreProperties>
</file>