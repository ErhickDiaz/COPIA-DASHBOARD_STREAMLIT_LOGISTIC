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"119310"</f>
        <v/>
      </c>
      <c r="B212" s="2" t="inlineStr">
        <is>
          <t>HKOOB37066343</t>
        </is>
      </c>
      <c r="C212" s="2" t="inlineStr">
        <is>
          <t>18/05/2026</t>
        </is>
      </c>
      <c r="D212" s="2" t="inlineStr">
        <is>
          <t>18:43:30</t>
        </is>
      </c>
      <c r="E212" s="2" t="inlineStr">
        <is>
          <t>mayo</t>
        </is>
      </c>
      <c r="F212" s="2" t="n">
        <v>2026</v>
      </c>
      <c r="G212" s="3" t="inlineStr">
        <is>
          <t>CHILLAN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CHILLAN</t>
        </is>
      </c>
      <c r="K212" s="2" t="n">
        <v>1689</v>
      </c>
    </row>
    <row r="213">
      <c r="A213" s="4">
        <f>"119311"</f>
        <v/>
      </c>
      <c r="B213" s="4" t="inlineStr">
        <is>
          <t>HKOOB37066342</t>
        </is>
      </c>
      <c r="C213" s="4" t="inlineStr">
        <is>
          <t>18/05/2026</t>
        </is>
      </c>
      <c r="D213" s="4" t="inlineStr">
        <is>
          <t>19:05:59</t>
        </is>
      </c>
      <c r="E213" s="4" t="inlineStr">
        <is>
          <t>mayo</t>
        </is>
      </c>
      <c r="F213" s="4" t="n">
        <v>2026</v>
      </c>
      <c r="G213" s="5" t="inlineStr">
        <is>
          <t>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TEMUCO</t>
        </is>
      </c>
      <c r="K213" s="4" t="n">
        <v>1588</v>
      </c>
    </row>
    <row r="214">
      <c r="A214" s="2">
        <f>"119314"</f>
        <v/>
      </c>
      <c r="B214" s="2" t="inlineStr">
        <is>
          <t>HKOOB37066328</t>
        </is>
      </c>
      <c r="C214" s="2" t="inlineStr">
        <is>
          <t>18/05/2026</t>
        </is>
      </c>
      <c r="D214" s="2" t="inlineStr">
        <is>
          <t>19:36:49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1276</v>
      </c>
    </row>
    <row r="215">
      <c r="A215" s="4">
        <f>"119312"</f>
        <v/>
      </c>
      <c r="B215" s="4" t="inlineStr">
        <is>
          <t>HKOOB37066350</t>
        </is>
      </c>
      <c r="C215" s="4" t="inlineStr">
        <is>
          <t>18/05/2026</t>
        </is>
      </c>
      <c r="D215" s="4" t="inlineStr">
        <is>
          <t>19:45:45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77970090-9/TRANSPORTES DONA ISIDORA (LABBE)</t>
        </is>
      </c>
      <c r="I215" s="4" t="n">
        <v>1</v>
      </c>
      <c r="J215" s="5" t="inlineStr">
        <is>
          <t>ANTOFAGASTA</t>
        </is>
      </c>
      <c r="K215" s="4" t="n">
        <v>1735</v>
      </c>
    </row>
    <row r="216">
      <c r="A216" s="2">
        <f>"119316"</f>
        <v/>
      </c>
      <c r="B216" s="2" t="inlineStr">
        <is>
          <t>HKOOB37075218</t>
        </is>
      </c>
      <c r="C216" s="2" t="inlineStr">
        <is>
          <t>18/05/2026</t>
        </is>
      </c>
      <c r="D216" s="2" t="inlineStr">
        <is>
          <t>20:04:06</t>
        </is>
      </c>
      <c r="E216" s="2" t="inlineStr">
        <is>
          <t>mayo</t>
        </is>
      </c>
      <c r="F216" s="2" t="n">
        <v>2026</v>
      </c>
      <c r="G216" s="3" t="inlineStr">
        <is>
          <t>TALCA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TALCA</t>
        </is>
      </c>
      <c r="K216" s="2" t="n">
        <v>1706</v>
      </c>
    </row>
    <row r="217">
      <c r="A217" s="4">
        <f>"119315"</f>
        <v/>
      </c>
      <c r="B217" s="4" t="inlineStr">
        <is>
          <t>HKOOB37066336</t>
        </is>
      </c>
      <c r="C217" s="4" t="inlineStr">
        <is>
          <t>18/05/2026</t>
        </is>
      </c>
      <c r="D217" s="4" t="inlineStr">
        <is>
          <t>20:41:23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76746317-0/TRAILER LOGISTICS SPA</t>
        </is>
      </c>
      <c r="I217" s="4" t="n">
        <v>1</v>
      </c>
      <c r="J217" s="5" t="inlineStr">
        <is>
          <t>CONCEPCION</t>
        </is>
      </c>
      <c r="K217" s="4" t="n">
        <v>2098</v>
      </c>
    </row>
    <row r="218">
      <c r="A218" s="2">
        <f>"38785"</f>
        <v/>
      </c>
      <c r="B218" s="2" t="inlineStr">
        <is>
          <t>HKOOB37067758</t>
        </is>
      </c>
      <c r="C218" s="2" t="inlineStr">
        <is>
          <t>18/05/2026</t>
        </is>
      </c>
      <c r="D218" s="2" t="inlineStr">
        <is>
          <t>20:43:37</t>
        </is>
      </c>
      <c r="E218" s="2" t="inlineStr">
        <is>
          <t>mayo</t>
        </is>
      </c>
      <c r="F218" s="2" t="n">
        <v>2026</v>
      </c>
      <c r="G218" s="3" t="inlineStr">
        <is>
          <t>LO ESPEJO</t>
        </is>
      </c>
      <c r="H218" s="3" t="inlineStr">
        <is>
          <t>SIN PROVEEDOR</t>
        </is>
      </c>
      <c r="I218" s="2" t="n">
        <v>1</v>
      </c>
      <c r="J218" s="3" t="inlineStr">
        <is>
          <t>LO ESPEJO</t>
        </is>
      </c>
      <c r="K218" s="2" t="n">
        <v>1363</v>
      </c>
    </row>
    <row r="219">
      <c r="A219" s="4">
        <f>"119317"</f>
        <v/>
      </c>
      <c r="B219" s="4" t="inlineStr">
        <is>
          <t>CHKO374026</t>
        </is>
      </c>
      <c r="C219" s="4" t="inlineStr">
        <is>
          <t>18/05/2026</t>
        </is>
      </c>
      <c r="D219" s="4" t="inlineStr">
        <is>
          <t>21:05:26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1928</v>
      </c>
    </row>
    <row r="220">
      <c r="A220" s="2">
        <f>"119142"</f>
        <v/>
      </c>
      <c r="B220" s="2" t="inlineStr">
        <is>
          <t>CHKO373309 / CHKO373325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ARICA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ANTOFAGASTA / ARICA</t>
        </is>
      </c>
      <c r="K220" s="2" t="n">
        <v>1380</v>
      </c>
    </row>
    <row r="221">
      <c r="A221" s="4">
        <f>"119173"</f>
        <v/>
      </c>
      <c r="B221" s="4" t="inlineStr">
        <is>
          <t>CHKO373624 / HKOOB37011942</t>
        </is>
      </c>
      <c r="C221" s="4" t="inlineStr">
        <is>
          <t>11/05/2026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VALDIVIA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VALDIVIA</t>
        </is>
      </c>
      <c r="K221" s="4" t="n">
        <v>1664</v>
      </c>
    </row>
    <row r="222">
      <c r="A222" s="2">
        <f>"119195"</f>
        <v/>
      </c>
      <c r="B222" s="2" t="inlineStr">
        <is>
          <t>CHKO373384 / HKOOB37037365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ANTOFAGASTA / IQUIQUE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ANTOFAGASTA / IQUIQUE</t>
        </is>
      </c>
      <c r="K222" s="2" t="n">
        <v>1786</v>
      </c>
    </row>
    <row r="223">
      <c r="A223" s="4">
        <f>"119212"</f>
        <v/>
      </c>
      <c r="B223" s="4" t="inlineStr">
        <is>
          <t>CHKO373745 / HKOOB37043861</t>
        </is>
      </c>
      <c r="C223" s="4" t="inlineStr">
        <is>
          <t>13/05/2026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1739</v>
      </c>
    </row>
    <row r="224">
      <c r="A224" s="2">
        <f>"119239"</f>
        <v/>
      </c>
      <c r="B224" s="2" t="inlineStr">
        <is>
          <t>CHKO373825 / CHKO373844</t>
        </is>
      </c>
      <c r="C224" s="2" t="inlineStr">
        <is>
          <t>14/05/2026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1679</v>
      </c>
    </row>
    <row r="225">
      <c r="A225" s="4">
        <f>"119243"</f>
        <v/>
      </c>
      <c r="B225" s="4" t="inlineStr">
        <is>
          <t>CHKO373749 / CHKO373845</t>
        </is>
      </c>
      <c r="C225" s="4" t="inlineStr">
        <is>
          <t>14/05/2026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SAN FERNANDO / TALCA</t>
        </is>
      </c>
      <c r="H225" s="5" t="inlineStr">
        <is>
          <t>76252773-1/GARATE Y GARATE LIMITADA</t>
        </is>
      </c>
      <c r="I225" s="4" t="n">
        <v>1</v>
      </c>
      <c r="J225" s="5" t="inlineStr">
        <is>
          <t>SAN FERNANDO / TALCA</t>
        </is>
      </c>
      <c r="K225" s="4" t="n">
        <v>1627</v>
      </c>
    </row>
    <row r="226">
      <c r="A226" s="2">
        <f>"119255"</f>
        <v/>
      </c>
      <c r="B226" s="2" t="inlineStr">
        <is>
          <t>CHKO373695 / CHKO373826</t>
        </is>
      </c>
      <c r="C226" s="2" t="inlineStr">
        <is>
          <t>15/05/2026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LOS ANGELES / TEMUCO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LOS ANGELES / TEMUCO</t>
        </is>
      </c>
      <c r="K226" s="2" t="n">
        <v>1532</v>
      </c>
    </row>
    <row r="227">
      <c r="A227" s="4">
        <f>"119258"</f>
        <v/>
      </c>
      <c r="B227" s="4" t="inlineStr">
        <is>
          <t>CHKO373754 / CHKO373867 / CHKO373905</t>
        </is>
      </c>
      <c r="C227" s="4" t="inlineStr">
        <is>
          <t>15/05/2026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1708</v>
      </c>
    </row>
    <row r="228">
      <c r="A228" s="2">
        <f>"119261"</f>
        <v/>
      </c>
      <c r="B228" s="2" t="inlineStr">
        <is>
          <t>HKOOB37052768 / HKOOB37058514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1605</v>
      </c>
    </row>
    <row r="229">
      <c r="A229" s="4">
        <f>"119283"</f>
        <v/>
      </c>
      <c r="B229" s="4" t="inlineStr">
        <is>
          <t>CHKO373697 / CHKO373925</t>
        </is>
      </c>
      <c r="C229" s="4" t="inlineStr">
        <is>
          <t>16/05/2026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LOS ANGELES / TEMUCO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LOS ANGELES / TEMUCO</t>
        </is>
      </c>
      <c r="K229" s="4" t="n">
        <v>1600</v>
      </c>
    </row>
    <row r="230">
      <c r="A230" s="2">
        <f>"119286"</f>
        <v/>
      </c>
      <c r="B230" s="2" t="inlineStr">
        <is>
          <t>HKOOB37063239 / HKOOB37066332</t>
        </is>
      </c>
      <c r="C230" s="2" t="inlineStr">
        <is>
          <t>16/05/2026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1544</v>
      </c>
    </row>
    <row r="231">
      <c r="A231" s="4">
        <f>"119288"</f>
        <v/>
      </c>
      <c r="B231" s="4" t="inlineStr">
        <is>
          <t>CHKO373986 / HKOOB37063246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</t>
        </is>
      </c>
      <c r="K231" s="4" t="n">
        <v>1682</v>
      </c>
    </row>
    <row r="232">
      <c r="A232" s="2">
        <f>"119290"</f>
        <v/>
      </c>
      <c r="B232" s="2" t="inlineStr">
        <is>
          <t>CHKO373949 / HKOOB37037366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ANTOFAGASTA / IQUIQUE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ANTOFAGASTA / IQUIQUE</t>
        </is>
      </c>
      <c r="K232" s="2" t="n">
        <v>719</v>
      </c>
    </row>
    <row r="233">
      <c r="A233" s="4">
        <f>"119299"</f>
        <v/>
      </c>
      <c r="B233" s="4" t="inlineStr">
        <is>
          <t>CHKO373702 / CHKO373911 / CHKO374004</t>
        </is>
      </c>
      <c r="C233" s="4" t="inlineStr">
        <is>
          <t>17/05/2026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1953</v>
      </c>
    </row>
    <row r="234">
      <c r="A234" s="2">
        <f>"119301"</f>
        <v/>
      </c>
      <c r="B234" s="2" t="inlineStr">
        <is>
          <t>CHKO374005 / HKOOB37066348</t>
        </is>
      </c>
      <c r="C234" s="2" t="inlineStr">
        <is>
          <t>18/05/2026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1701</v>
      </c>
    </row>
    <row r="235">
      <c r="A235" s="4">
        <f>"119302"</f>
        <v/>
      </c>
      <c r="B235" s="4" t="inlineStr">
        <is>
          <t>HKOOB37066351 / HKOOB37066352</t>
        </is>
      </c>
      <c r="C235" s="4" t="inlineStr">
        <is>
          <t>17/05/2026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76746317-0/TRAILER LOGISTICS SPA</t>
        </is>
      </c>
      <c r="I235" s="4" t="n">
        <v>1</v>
      </c>
      <c r="J235" s="5" t="inlineStr">
        <is>
          <t>ANTOFAGASTA</t>
        </is>
      </c>
      <c r="K235" s="4" t="n">
        <v>2102</v>
      </c>
    </row>
    <row r="236">
      <c r="A236" s="2">
        <f>"119304"</f>
        <v/>
      </c>
      <c r="B236" s="2" t="inlineStr">
        <is>
          <t>HKOOB37066334 / HKOOB37066339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1619</v>
      </c>
    </row>
    <row r="237">
      <c r="A237" s="4">
        <f>"119308"</f>
        <v/>
      </c>
      <c r="B237" s="4" t="inlineStr">
        <is>
          <t>CHKO373703 / CHKO373952 / CHKO374066</t>
        </is>
      </c>
      <c r="C237" s="4" t="inlineStr">
        <is>
          <t>18/05/2026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1657</v>
      </c>
    </row>
    <row r="238">
      <c r="A238" s="2">
        <f>"119318"</f>
        <v/>
      </c>
      <c r="B238" s="2" t="inlineStr">
        <is>
          <t>CHKO373953 / HKOOB37075213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1380</v>
      </c>
    </row>
    <row r="239">
      <c r="A239" s="4" t="inlineStr">
        <is>
          <t>LAS</t>
        </is>
      </c>
      <c r="B239" s="4" t="inlineStr">
        <is>
          <t>HKOOB37004439 / HKOOB37004444 / HKOOB37004446 / HKOOB37058740 / HKOOB37058741 / HKOOB37063774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EL PINAR / LO ESPEJO</t>
        </is>
      </c>
      <c r="H239" s="5" t="inlineStr">
        <is>
          <t>SIN PROVEEDOR</t>
        </is>
      </c>
      <c r="I239" s="4" t="n">
        <v>1</v>
      </c>
      <c r="J239" s="5" t="inlineStr">
        <is>
          <t>EL PINAR / LO ESPEJO</t>
        </is>
      </c>
      <c r="K239" s="4" t="n">
        <v>6101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2026-05-19T02:07:03Z</dcterms:created>
  <dcterms:modified xmlns:dcterms="http://purl.org/dc/terms/" xmlns:xsi="http://www.w3.org/2001/XMLSchema-instance" xsi:type="dcterms:W3CDTF">2026-05-19T02:07:03Z</dcterms:modified>
</cp:coreProperties>
</file>