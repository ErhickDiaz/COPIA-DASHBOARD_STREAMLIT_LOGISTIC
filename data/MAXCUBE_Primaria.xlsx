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"119142"</f>
        <v/>
      </c>
      <c r="B238" s="2" t="inlineStr">
        <is>
          <t>CHKO373309 / CHKO373325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ARICA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ANTOFAGASTA / ARICA</t>
        </is>
      </c>
      <c r="K238" s="2" t="n">
        <v>1380</v>
      </c>
    </row>
    <row r="239">
      <c r="A239" s="4">
        <f>"119173"</f>
        <v/>
      </c>
      <c r="B239" s="4" t="inlineStr">
        <is>
          <t>CHKO373624 / HKOOB37011942</t>
        </is>
      </c>
      <c r="C239" s="4" t="inlineStr">
        <is>
          <t>11/05/2026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1664</v>
      </c>
    </row>
    <row r="240">
      <c r="A240" s="2">
        <f>"119195"</f>
        <v/>
      </c>
      <c r="B240" s="2" t="inlineStr">
        <is>
          <t>CHKO373384 / HKOOB37037365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1786</v>
      </c>
    </row>
    <row r="241">
      <c r="A241" s="4">
        <f>"119212"</f>
        <v/>
      </c>
      <c r="B241" s="4" t="inlineStr">
        <is>
          <t>CHKO373745 / HKOOB37043861</t>
        </is>
      </c>
      <c r="C241" s="4" t="inlineStr">
        <is>
          <t>13/05/2026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1739</v>
      </c>
    </row>
    <row r="242">
      <c r="A242" s="2">
        <f>"119239"</f>
        <v/>
      </c>
      <c r="B242" s="2" t="inlineStr">
        <is>
          <t>CHKO373825 / CHKO373844</t>
        </is>
      </c>
      <c r="C242" s="2" t="inlineStr">
        <is>
          <t>14/05/2026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1679</v>
      </c>
    </row>
    <row r="243">
      <c r="A243" s="4">
        <f>"119243"</f>
        <v/>
      </c>
      <c r="B243" s="4" t="inlineStr">
        <is>
          <t>CHKO373749 / CHKO373845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SAN FERNANDO / TALCA</t>
        </is>
      </c>
      <c r="H243" s="5" t="inlineStr">
        <is>
          <t>76252773-1/GARATE Y GARATE LIMITADA</t>
        </is>
      </c>
      <c r="I243" s="4" t="n">
        <v>1</v>
      </c>
      <c r="J243" s="5" t="inlineStr">
        <is>
          <t>SAN FERNANDO / TALCA</t>
        </is>
      </c>
      <c r="K243" s="4" t="n">
        <v>1627</v>
      </c>
    </row>
    <row r="244">
      <c r="A244" s="2">
        <f>"119255"</f>
        <v/>
      </c>
      <c r="B244" s="2" t="inlineStr">
        <is>
          <t>CHKO373695 / CHKO373826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1532</v>
      </c>
    </row>
    <row r="245">
      <c r="A245" s="4">
        <f>"119258"</f>
        <v/>
      </c>
      <c r="B245" s="4" t="inlineStr">
        <is>
          <t>CHKO373754 / CHKO373867 / CHKO373905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1708</v>
      </c>
    </row>
    <row r="246">
      <c r="A246" s="2">
        <f>"119261"</f>
        <v/>
      </c>
      <c r="B246" s="2" t="inlineStr">
        <is>
          <t>HKOOB37052768 / HKOOB37058514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COPIAPO / LA SERENA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COPIAPO / LA SERENA</t>
        </is>
      </c>
      <c r="K246" s="2" t="n">
        <v>1605</v>
      </c>
    </row>
    <row r="247">
      <c r="A247" s="4">
        <f>"119283"</f>
        <v/>
      </c>
      <c r="B247" s="4" t="inlineStr">
        <is>
          <t>CHKO373697 / CHKO373925</t>
        </is>
      </c>
      <c r="C247" s="4" t="inlineStr">
        <is>
          <t>16/05/2026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1600</v>
      </c>
    </row>
    <row r="248">
      <c r="A248" s="2" t="inlineStr">
        <is>
          <t>LAS</t>
        </is>
      </c>
      <c r="B248" s="2" t="inlineStr">
        <is>
          <t>HKOOB36991771 / HKOOB36991772 / HKOOB36997597 / HKOOB36997604 / HKOOB37004439 / HKOOB37004444 / HKOOB37004446 / HKOOB37058740 / HKOOB37058741 / HKOOB37063774</t>
        </is>
      </c>
      <c r="C248" s="2" t="inlineStr">
        <is>
          <t>12/05/2026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EL PINAR / LO ESPEJO / VINA DEL MAR</t>
        </is>
      </c>
      <c r="H248" s="3" t="inlineStr">
        <is>
          <t>SIN PROVEEDOR</t>
        </is>
      </c>
      <c r="I248" s="2" t="n">
        <v>1</v>
      </c>
      <c r="J248" s="3" t="inlineStr">
        <is>
          <t>EL PINAR / LO ESPEJO / VINA DEL MAR</t>
        </is>
      </c>
      <c r="K248" s="2" t="n">
        <v>12345</v>
      </c>
    </row>
  </sheetData>
  <autoFilter ref="A1:K2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2026-05-16T20:54:09Z</dcterms:created>
  <dcterms:modified xmlns:dcterms="http://purl.org/dc/terms/" xmlns:xsi="http://www.w3.org/2001/XMLSchema-instance" xsi:type="dcterms:W3CDTF">2026-05-16T20:54:09Z</dcterms:modified>
</cp:coreProperties>
</file>