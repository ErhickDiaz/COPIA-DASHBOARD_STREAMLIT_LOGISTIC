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"119069"</f>
        <v/>
      </c>
      <c r="B220" s="2" t="inlineStr">
        <is>
          <t>CHKO372804 / CHKO372827</t>
        </is>
      </c>
      <c r="C220" s="2" t="inlineStr">
        <is>
          <t>05/05/2026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1543</v>
      </c>
    </row>
    <row r="221">
      <c r="A221" s="4">
        <f>"119087"</f>
        <v/>
      </c>
      <c r="B221" s="4" t="inlineStr">
        <is>
          <t>CHKO372924 / HKOOB36982949</t>
        </is>
      </c>
      <c r="C221" s="4" t="inlineStr">
        <is>
          <t>06/05/2026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1868</v>
      </c>
    </row>
    <row r="222">
      <c r="A222" s="2">
        <f>"119112"</f>
        <v/>
      </c>
      <c r="B222" s="2" t="inlineStr">
        <is>
          <t>HKOOB36994400 / HKOOB36994408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1247</v>
      </c>
    </row>
    <row r="223">
      <c r="A223" s="4">
        <f>"119113"</f>
        <v/>
      </c>
      <c r="B223" s="4" t="inlineStr">
        <is>
          <t>CHKO373144 / HKOOB36991739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CHILLAN / 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CHILLAN / TALCA</t>
        </is>
      </c>
      <c r="K223" s="4" t="n">
        <v>1626</v>
      </c>
    </row>
    <row r="224">
      <c r="A224" s="2">
        <f>"119118"</f>
        <v/>
      </c>
      <c r="B224" s="2" t="inlineStr">
        <is>
          <t>CHKO373029 / CHKO373166 / HKOOB36991777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1570</v>
      </c>
    </row>
    <row r="225">
      <c r="A225" s="4">
        <f>"119133"</f>
        <v/>
      </c>
      <c r="B225" s="4" t="inlineStr">
        <is>
          <t>CHKO373305 / HKOOB36974928</t>
        </is>
      </c>
      <c r="C225" s="4" t="inlineStr">
        <is>
          <t>08/05/2026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1569</v>
      </c>
    </row>
    <row r="226">
      <c r="A226" s="2">
        <f>"119142"</f>
        <v/>
      </c>
      <c r="B226" s="2" t="inlineStr">
        <is>
          <t>CHKO373309 / CHKO373325 / HKOOB36985272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1716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 t="inlineStr">
        <is>
          <t>LAS</t>
        </is>
      </c>
      <c r="B230" s="2" t="inlineStr">
        <is>
          <t>HKOOB36985602 / HKOOB36985610 / HKOOB36991771 / HKOOB36991772 / HKOOB36997597 / HKOOB36997604 / HKOOB37004439 / HKOOB37004444 / HKOOB37004446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 ESPEJO / VINA DEL MAR</t>
        </is>
      </c>
      <c r="H230" s="3" t="inlineStr">
        <is>
          <t>SIN PROVEEDOR</t>
        </is>
      </c>
      <c r="I230" s="2" t="n">
        <v>1</v>
      </c>
      <c r="J230" s="3" t="inlineStr">
        <is>
          <t>LO ESPEJO / VINA DEL MAR</t>
        </is>
      </c>
      <c r="K230" s="2" t="n">
        <v>11269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2026-05-14T00:49:20Z</dcterms:created>
  <dcterms:modified xmlns:dcterms="http://purl.org/dc/terms/" xmlns:xsi="http://www.w3.org/2001/XMLSchema-instance" xsi:type="dcterms:W3CDTF">2026-05-14T00:49:20Z</dcterms:modified>
</cp:coreProperties>
</file>