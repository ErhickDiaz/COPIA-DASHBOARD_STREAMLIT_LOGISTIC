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"119069"</f>
        <v/>
      </c>
      <c r="B242" s="2" t="inlineStr">
        <is>
          <t>CHKO372804 / CHKO372827</t>
        </is>
      </c>
      <c r="C242" s="2" t="inlineStr">
        <is>
          <t>05/05/2026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1543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"119133"</f>
        <v/>
      </c>
      <c r="B247" s="4" t="inlineStr">
        <is>
          <t>CHKO373305 / HKOOB36974928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1569</v>
      </c>
    </row>
    <row r="248">
      <c r="A248" s="2">
        <f>"119142"</f>
        <v/>
      </c>
      <c r="B248" s="2" t="inlineStr">
        <is>
          <t>CHKO373309 / CHKO373325 / HKOOB36985272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ARICA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ANTOFAGASTA / ARICA</t>
        </is>
      </c>
      <c r="K248" s="2" t="n">
        <v>1716</v>
      </c>
    </row>
    <row r="249">
      <c r="A249" s="4">
        <f>"119173"</f>
        <v/>
      </c>
      <c r="B249" s="4" t="inlineStr">
        <is>
          <t>CHKO373624 / HKOOB37011942</t>
        </is>
      </c>
      <c r="C249" s="4" t="inlineStr">
        <is>
          <t>11/05/2026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1664</v>
      </c>
    </row>
    <row r="250">
      <c r="A250" s="2">
        <f>"119195"</f>
        <v/>
      </c>
      <c r="B250" s="2" t="inlineStr">
        <is>
          <t>CHKO373384 / HKOOB37037365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1786</v>
      </c>
    </row>
    <row r="251">
      <c r="A251" s="4">
        <f>"119212"</f>
        <v/>
      </c>
      <c r="B251" s="4" t="inlineStr">
        <is>
          <t>CHKO373745 / HKOOB37043861</t>
        </is>
      </c>
      <c r="C251" s="4" t="inlineStr">
        <is>
          <t>13/05/2026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RUTA SOLITARIA ELPAC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RUTA SOLITARIA ELPAC</t>
        </is>
      </c>
      <c r="K251" s="4" t="n">
        <v>1739</v>
      </c>
    </row>
    <row r="252">
      <c r="A252" s="2">
        <f>"119239"</f>
        <v/>
      </c>
      <c r="B252" s="2" t="inlineStr">
        <is>
          <t>CHKO373825 / CHKO373844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1679</v>
      </c>
    </row>
    <row r="253">
      <c r="A253" s="4">
        <f>"119243"</f>
        <v/>
      </c>
      <c r="B253" s="4" t="inlineStr">
        <is>
          <t>CHKO373749 / CHKO373845</t>
        </is>
      </c>
      <c r="C253" s="4" t="inlineStr">
        <is>
          <t>14/05/2026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SAN FERNANDO / TALCA</t>
        </is>
      </c>
      <c r="H253" s="5" t="inlineStr">
        <is>
          <t>76252773-1/GARATE Y GARATE LIMITADA</t>
        </is>
      </c>
      <c r="I253" s="4" t="n">
        <v>1</v>
      </c>
      <c r="J253" s="5" t="inlineStr">
        <is>
          <t>SAN FERNANDO / TALCA</t>
        </is>
      </c>
      <c r="K253" s="4" t="n">
        <v>1627</v>
      </c>
    </row>
    <row r="254">
      <c r="A254" s="2" t="inlineStr">
        <is>
          <t>LAS</t>
        </is>
      </c>
      <c r="B254" s="2" t="inlineStr">
        <is>
          <t>HKOOB36985602 / HKOOB36985610 / HKOOB36991771 / HKOOB36991772 / HKOOB36997597 / HKOOB36997604 / HKOOB37004439 / HKOOB37004444 / HKOOB37004446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LO ESPEJO / VINA DEL MAR</t>
        </is>
      </c>
      <c r="K254" s="2" t="n">
        <v>11269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2026-05-14T23:29:43Z</dcterms:created>
  <dcterms:modified xmlns:dcterms="http://purl.org/dc/terms/" xmlns:xsi="http://www.w3.org/2001/XMLSchema-instance" xsi:type="dcterms:W3CDTF">2026-05-14T23:29:43Z</dcterms:modified>
</cp:coreProperties>
</file>