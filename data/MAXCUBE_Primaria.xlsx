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"119069"</f>
        <v/>
      </c>
      <c r="B236" s="2" t="inlineStr">
        <is>
          <t>CHKO372804 / CHKO372827</t>
        </is>
      </c>
      <c r="C236" s="2" t="inlineStr">
        <is>
          <t>05/05/2026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1543</v>
      </c>
    </row>
    <row r="237">
      <c r="A237" s="4">
        <f>"119087"</f>
        <v/>
      </c>
      <c r="B237" s="4" t="inlineStr">
        <is>
          <t>CHKO372924 / HKOOB36982949</t>
        </is>
      </c>
      <c r="C237" s="4" t="inlineStr">
        <is>
          <t>06/05/2026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1868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"119133"</f>
        <v/>
      </c>
      <c r="B241" s="4" t="inlineStr">
        <is>
          <t>CHKO373305 / HKOOB36974928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1569</v>
      </c>
    </row>
    <row r="242">
      <c r="A242" s="2">
        <f>"119142"</f>
        <v/>
      </c>
      <c r="B242" s="2" t="inlineStr">
        <is>
          <t>CHKO373309 / CHKO373325 / HKOOB36985272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ARICA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ANTOFAGASTA / ARICA</t>
        </is>
      </c>
      <c r="K242" s="2" t="n">
        <v>1716</v>
      </c>
    </row>
    <row r="243">
      <c r="A243" s="4">
        <f>"119173"</f>
        <v/>
      </c>
      <c r="B243" s="4" t="inlineStr">
        <is>
          <t>CHKO373624 / HKOOB37011942</t>
        </is>
      </c>
      <c r="C243" s="4" t="inlineStr">
        <is>
          <t>11/05/2026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1664</v>
      </c>
    </row>
    <row r="244">
      <c r="A244" s="2">
        <f>"119195"</f>
        <v/>
      </c>
      <c r="B244" s="2" t="inlineStr">
        <is>
          <t>CHKO373384 / HKOOB37037365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IQUIQUE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ANTOFAGASTA / IQUIQUE</t>
        </is>
      </c>
      <c r="K244" s="2" t="n">
        <v>1786</v>
      </c>
    </row>
    <row r="245">
      <c r="A245" s="4">
        <f>"119212"</f>
        <v/>
      </c>
      <c r="B245" s="4" t="inlineStr">
        <is>
          <t>CHKO373745 / HKOOB37043861</t>
        </is>
      </c>
      <c r="C245" s="4" t="inlineStr">
        <is>
          <t>13/05/2026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1739</v>
      </c>
    </row>
    <row r="246">
      <c r="A246" s="2" t="inlineStr">
        <is>
          <t>LAS</t>
        </is>
      </c>
      <c r="B246" s="2" t="inlineStr">
        <is>
          <t>HKOOB36985602 / HKOOB36985610 / HKOOB36991771 / HKOOB36991772 / HKOOB36997597 / HKOOB36997604 / HKOOB37004439 / HKOOB37004444 / HKOOB37004446</t>
        </is>
      </c>
      <c r="C246" s="2" t="inlineStr">
        <is>
          <t>12/05/2026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 ESPEJO / VINA DEL MAR</t>
        </is>
      </c>
      <c r="H246" s="3" t="inlineStr">
        <is>
          <t>SIN PROVEEDOR</t>
        </is>
      </c>
      <c r="I246" s="2" t="n">
        <v>1</v>
      </c>
      <c r="J246" s="3" t="inlineStr">
        <is>
          <t>LO ESPEJO / VINA DEL MAR</t>
        </is>
      </c>
      <c r="K246" s="2" t="n">
        <v>11269</v>
      </c>
    </row>
  </sheetData>
  <autoFilter ref="A1:K2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2026-05-14T14:14:01Z</dcterms:created>
  <dcterms:modified xmlns:dcterms="http://purl.org/dc/terms/" xmlns:xsi="http://www.w3.org/2001/XMLSchema-instance" xsi:type="dcterms:W3CDTF">2026-05-14T14:14:01Z</dcterms:modified>
</cp:coreProperties>
</file>