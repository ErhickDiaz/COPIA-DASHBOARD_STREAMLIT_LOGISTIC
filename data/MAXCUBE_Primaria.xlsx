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"119351"</f>
        <v/>
      </c>
      <c r="B216" s="2" t="inlineStr">
        <is>
          <t>HKOOB37084361</t>
        </is>
      </c>
      <c r="C216" s="2" t="inlineStr">
        <is>
          <t>20/05/2026</t>
        </is>
      </c>
      <c r="D216" s="2" t="inlineStr">
        <is>
          <t>07:49:48</t>
        </is>
      </c>
      <c r="E216" s="2" t="inlineStr">
        <is>
          <t>mayo</t>
        </is>
      </c>
      <c r="F216" s="2" t="n">
        <v>2026</v>
      </c>
      <c r="G216" s="3" t="inlineStr">
        <is>
          <t>ANTOFAGASTA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</t>
        </is>
      </c>
      <c r="K216" s="2" t="n">
        <v>1844</v>
      </c>
    </row>
    <row r="217">
      <c r="A217" s="4">
        <f>"119350"</f>
        <v/>
      </c>
      <c r="B217" s="4" t="inlineStr">
        <is>
          <t>HKOOB37081599</t>
        </is>
      </c>
      <c r="C217" s="4" t="inlineStr">
        <is>
          <t>20/05/2026</t>
        </is>
      </c>
      <c r="D217" s="4" t="inlineStr">
        <is>
          <t>07:50:07</t>
        </is>
      </c>
      <c r="E217" s="4" t="inlineStr">
        <is>
          <t>mayo</t>
        </is>
      </c>
      <c r="F217" s="4" t="n">
        <v>2026</v>
      </c>
      <c r="G217" s="5" t="inlineStr">
        <is>
          <t>LOS ANGELES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</t>
        </is>
      </c>
      <c r="K217" s="4" t="n">
        <v>1483</v>
      </c>
    </row>
    <row r="218">
      <c r="A218" s="2">
        <f>"39022"</f>
        <v/>
      </c>
      <c r="B218" s="2" t="inlineStr">
        <is>
          <t>HKOOB37084302</t>
        </is>
      </c>
      <c r="C218" s="2" t="inlineStr">
        <is>
          <t>20/05/2026</t>
        </is>
      </c>
      <c r="D218" s="2" t="inlineStr">
        <is>
          <t>08:11:55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1202</v>
      </c>
    </row>
    <row r="219">
      <c r="A219" s="4">
        <f>"39011"</f>
        <v/>
      </c>
      <c r="B219" s="4" t="inlineStr">
        <is>
          <t>HKOOB37084226</t>
        </is>
      </c>
      <c r="C219" s="4" t="inlineStr">
        <is>
          <t>20/05/2026</t>
        </is>
      </c>
      <c r="D219" s="4" t="inlineStr">
        <is>
          <t>08:37:01</t>
        </is>
      </c>
      <c r="E219" s="4" t="inlineStr">
        <is>
          <t>mayo</t>
        </is>
      </c>
      <c r="F219" s="4" t="n">
        <v>2026</v>
      </c>
      <c r="G219" s="5" t="inlineStr">
        <is>
          <t>LO ESPEJO</t>
        </is>
      </c>
      <c r="H219" s="5" t="inlineStr">
        <is>
          <t>SIN PROVEEDOR</t>
        </is>
      </c>
      <c r="I219" s="4" t="n">
        <v>1</v>
      </c>
      <c r="J219" s="5" t="inlineStr">
        <is>
          <t>LO ESPEJO</t>
        </is>
      </c>
      <c r="K219" s="4" t="n">
        <v>1308</v>
      </c>
    </row>
    <row r="220">
      <c r="A220" s="2">
        <f>"119354"</f>
        <v/>
      </c>
      <c r="B220" s="2" t="inlineStr">
        <is>
          <t>HKOOB37081620</t>
        </is>
      </c>
      <c r="C220" s="2" t="inlineStr">
        <is>
          <t>20/05/2026</t>
        </is>
      </c>
      <c r="D220" s="2" t="inlineStr">
        <is>
          <t>09:34:58</t>
        </is>
      </c>
      <c r="E220" s="2" t="inlineStr">
        <is>
          <t>mayo</t>
        </is>
      </c>
      <c r="F220" s="2" t="n">
        <v>2026</v>
      </c>
      <c r="G220" s="3" t="inlineStr">
        <is>
          <t>COPIAPO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</t>
        </is>
      </c>
      <c r="K220" s="2" t="n">
        <v>1999</v>
      </c>
    </row>
    <row r="221">
      <c r="A221" s="4">
        <f>"39026"</f>
        <v/>
      </c>
      <c r="B221" s="4" t="inlineStr">
        <is>
          <t>HKOOB37084227</t>
        </is>
      </c>
      <c r="C221" s="4" t="inlineStr">
        <is>
          <t>20/05/2026</t>
        </is>
      </c>
      <c r="D221" s="4" t="inlineStr">
        <is>
          <t>10:02:15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1185</v>
      </c>
    </row>
    <row r="222">
      <c r="A222" s="2">
        <f>"39039"</f>
        <v/>
      </c>
      <c r="B222" s="2" t="inlineStr">
        <is>
          <t>HKOOB37084228</t>
        </is>
      </c>
      <c r="C222" s="2" t="inlineStr">
        <is>
          <t>20/05/2026</t>
        </is>
      </c>
      <c r="D222" s="2" t="inlineStr">
        <is>
          <t>11:16:49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1188</v>
      </c>
    </row>
    <row r="223">
      <c r="A223" s="4">
        <f>"119352"</f>
        <v/>
      </c>
      <c r="B223" s="4" t="inlineStr">
        <is>
          <t>HKOOB37081602</t>
        </is>
      </c>
      <c r="C223" s="4" t="inlineStr">
        <is>
          <t>20/05/2026</t>
        </is>
      </c>
      <c r="D223" s="4" t="inlineStr">
        <is>
          <t>11:18:39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TEMUCO</t>
        </is>
      </c>
      <c r="K223" s="4" t="n">
        <v>1631</v>
      </c>
    </row>
    <row r="224">
      <c r="A224" s="2">
        <f>"119353"</f>
        <v/>
      </c>
      <c r="B224" s="2" t="inlineStr">
        <is>
          <t>HKOOB37081610</t>
        </is>
      </c>
      <c r="C224" s="2" t="inlineStr">
        <is>
          <t>20/05/2026</t>
        </is>
      </c>
      <c r="D224" s="2" t="inlineStr">
        <is>
          <t>11:30:44</t>
        </is>
      </c>
      <c r="E224" s="2" t="inlineStr">
        <is>
          <t>mayo</t>
        </is>
      </c>
      <c r="F224" s="2" t="n">
        <v>2026</v>
      </c>
      <c r="G224" s="3" t="inlineStr">
        <is>
          <t>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TALCA</t>
        </is>
      </c>
      <c r="K224" s="2" t="n">
        <v>1610</v>
      </c>
    </row>
    <row r="225">
      <c r="A225" s="4">
        <f>"39044"</f>
        <v/>
      </c>
      <c r="B225" s="4" t="inlineStr">
        <is>
          <t>HKOOB37084229</t>
        </is>
      </c>
      <c r="C225" s="4" t="inlineStr">
        <is>
          <t>20/05/2026</t>
        </is>
      </c>
      <c r="D225" s="4" t="inlineStr">
        <is>
          <t>13:16:33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1384</v>
      </c>
    </row>
    <row r="226">
      <c r="A226" s="2">
        <f>"119212"</f>
        <v/>
      </c>
      <c r="B226" s="2" t="inlineStr">
        <is>
          <t>CHKO373745 / HKOOB37043861</t>
        </is>
      </c>
      <c r="C226" s="2" t="inlineStr">
        <is>
          <t>13/05/2026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RUTA SOLITARIA ELPAC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PTO MONTT / RUTA SOLITARIA ELPAC</t>
        </is>
      </c>
      <c r="K226" s="2" t="n">
        <v>1739</v>
      </c>
    </row>
    <row r="227">
      <c r="A227" s="4">
        <f>"119239"</f>
        <v/>
      </c>
      <c r="B227" s="4" t="inlineStr">
        <is>
          <t>CHKO373825 / CHKO373844</t>
        </is>
      </c>
      <c r="C227" s="4" t="inlineStr">
        <is>
          <t>14/05/2026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VALDIVIA</t>
        </is>
      </c>
      <c r="K227" s="4" t="n">
        <v>1679</v>
      </c>
    </row>
    <row r="228">
      <c r="A228" s="2">
        <f>"119243"</f>
        <v/>
      </c>
      <c r="B228" s="2" t="inlineStr">
        <is>
          <t>CHKO373749 / CHKO373845</t>
        </is>
      </c>
      <c r="C228" s="2" t="inlineStr">
        <is>
          <t>14/05/2026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SAN FERNANDO / TALCA</t>
        </is>
      </c>
      <c r="H228" s="3" t="inlineStr">
        <is>
          <t>76252773-1/GARATE Y GARATE LIMITADA</t>
        </is>
      </c>
      <c r="I228" s="2" t="n">
        <v>1</v>
      </c>
      <c r="J228" s="3" t="inlineStr">
        <is>
          <t>SAN FERNANDO / TALCA</t>
        </is>
      </c>
      <c r="K228" s="2" t="n">
        <v>1627</v>
      </c>
    </row>
    <row r="229">
      <c r="A229" s="4">
        <f>"119255"</f>
        <v/>
      </c>
      <c r="B229" s="4" t="inlineStr">
        <is>
          <t>CHKO373695 / CHKO373826</t>
        </is>
      </c>
      <c r="C229" s="4" t="inlineStr">
        <is>
          <t>15/05/2026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LOS ANGELES / TEMUCO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LOS ANGELES / TEMUCO</t>
        </is>
      </c>
      <c r="K229" s="4" t="n">
        <v>1532</v>
      </c>
    </row>
    <row r="230">
      <c r="A230" s="2">
        <f>"119258"</f>
        <v/>
      </c>
      <c r="B230" s="2" t="inlineStr">
        <is>
          <t>CHKO373754 / CHKO373867 / CHKO373905</t>
        </is>
      </c>
      <c r="C230" s="2" t="inlineStr">
        <is>
          <t>15/05/2026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LA SERENA / RUTA SOLITARIA 1059 LV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LA SERENA / RUTA SOLITARIA 1059 LV</t>
        </is>
      </c>
      <c r="K230" s="2" t="n">
        <v>1708</v>
      </c>
    </row>
    <row r="231">
      <c r="A231" s="4">
        <f>"119261"</f>
        <v/>
      </c>
      <c r="B231" s="4" t="inlineStr">
        <is>
          <t>HKOOB37052768 / HKOOB37058514</t>
        </is>
      </c>
      <c r="C231" s="4" t="inlineStr">
        <is>
          <t>15/05/2026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COPIAPO / LA SERENA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COPIAPO / LA SERENA</t>
        </is>
      </c>
      <c r="K231" s="4" t="n">
        <v>1605</v>
      </c>
    </row>
    <row r="232">
      <c r="A232" s="2">
        <f>"119283"</f>
        <v/>
      </c>
      <c r="B232" s="2" t="inlineStr">
        <is>
          <t>CHKO373697 / CHKO373925</t>
        </is>
      </c>
      <c r="C232" s="2" t="inlineStr">
        <is>
          <t>16/05/2026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LOS ANGELES / TEMUCO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LOS ANGELES / TEMUCO</t>
        </is>
      </c>
      <c r="K232" s="2" t="n">
        <v>1600</v>
      </c>
    </row>
    <row r="233">
      <c r="A233" s="4">
        <f>"119286"</f>
        <v/>
      </c>
      <c r="B233" s="4" t="inlineStr">
        <is>
          <t>HKOOB37063239 / HKOOB37066332</t>
        </is>
      </c>
      <c r="C233" s="4" t="inlineStr">
        <is>
          <t>16/05/2026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TALCA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TALCA</t>
        </is>
      </c>
      <c r="K233" s="4" t="n">
        <v>1544</v>
      </c>
    </row>
    <row r="234">
      <c r="A234" s="2">
        <f>"119288"</f>
        <v/>
      </c>
      <c r="B234" s="2" t="inlineStr">
        <is>
          <t>CHKO373986 / HKOOB37063246</t>
        </is>
      </c>
      <c r="C234" s="2" t="inlineStr">
        <is>
          <t>16/05/2026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LOS ANGELES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LOS ANGELES</t>
        </is>
      </c>
      <c r="K234" s="2" t="n">
        <v>1682</v>
      </c>
    </row>
    <row r="235">
      <c r="A235" s="4">
        <f>"119290"</f>
        <v/>
      </c>
      <c r="B235" s="4" t="inlineStr">
        <is>
          <t>CHKO373949 / HKOOB37037366</t>
        </is>
      </c>
      <c r="C235" s="4" t="inlineStr">
        <is>
          <t>16/05/2026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ANTOFAGASTA / IQUIQUE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ANTOFAGASTA / IQUIQUE</t>
        </is>
      </c>
      <c r="K235" s="4" t="n">
        <v>719</v>
      </c>
    </row>
    <row r="236">
      <c r="A236" s="2">
        <f>"119299"</f>
        <v/>
      </c>
      <c r="B236" s="2" t="inlineStr">
        <is>
          <t>CHKO373702 / CHKO373911 / CHKO374004</t>
        </is>
      </c>
      <c r="C236" s="2" t="inlineStr">
        <is>
          <t>17/05/2026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VALDIVIA</t>
        </is>
      </c>
      <c r="K236" s="2" t="n">
        <v>1953</v>
      </c>
    </row>
    <row r="237">
      <c r="A237" s="4">
        <f>"119301"</f>
        <v/>
      </c>
      <c r="B237" s="4" t="inlineStr">
        <is>
          <t>CHKO374005 / HKOOB37066348</t>
        </is>
      </c>
      <c r="C237" s="4" t="inlineStr">
        <is>
          <t>18/05/2026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ARICA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ARICA</t>
        </is>
      </c>
      <c r="K237" s="4" t="n">
        <v>1701</v>
      </c>
    </row>
    <row r="238">
      <c r="A238" s="2">
        <f>"119302"</f>
        <v/>
      </c>
      <c r="B238" s="2" t="inlineStr">
        <is>
          <t>HKOOB37066351 / HKOOB37066352</t>
        </is>
      </c>
      <c r="C238" s="2" t="inlineStr">
        <is>
          <t>17/05/2026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ANTOFAGASTA</t>
        </is>
      </c>
      <c r="H238" s="3" t="inlineStr">
        <is>
          <t>76746317-0/TRAILER LOGISTICS SPA</t>
        </is>
      </c>
      <c r="I238" s="2" t="n">
        <v>1</v>
      </c>
      <c r="J238" s="3" t="inlineStr">
        <is>
          <t>ANTOFAGASTA</t>
        </is>
      </c>
      <c r="K238" s="2" t="n">
        <v>2102</v>
      </c>
    </row>
    <row r="239">
      <c r="A239" s="4">
        <f>"119304"</f>
        <v/>
      </c>
      <c r="B239" s="4" t="inlineStr">
        <is>
          <t>HKOOB37066334 / HKOOB37066339</t>
        </is>
      </c>
      <c r="C239" s="4" t="inlineStr">
        <is>
          <t>18/05/2026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COPIAPO / LA SERENA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COPIAPO / LA SERENA</t>
        </is>
      </c>
      <c r="K239" s="4" t="n">
        <v>1619</v>
      </c>
    </row>
    <row r="240">
      <c r="A240" s="2">
        <f>"119308"</f>
        <v/>
      </c>
      <c r="B240" s="2" t="inlineStr">
        <is>
          <t>CHKO373703 / CHKO373952 / CHKO374066</t>
        </is>
      </c>
      <c r="C240" s="2" t="inlineStr">
        <is>
          <t>18/05/2026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LA SERENA / RUTA SOLITARIA 1059 LV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LA SERENA / RUTA SOLITARIA 1059 LV</t>
        </is>
      </c>
      <c r="K240" s="2" t="n">
        <v>1657</v>
      </c>
    </row>
    <row r="241">
      <c r="A241" s="4">
        <f>"119318"</f>
        <v/>
      </c>
      <c r="B241" s="4" t="inlineStr">
        <is>
          <t>CHKO373953 / HKOOB37075213</t>
        </is>
      </c>
      <c r="C241" s="4" t="inlineStr">
        <is>
          <t>18/05/2026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77970090-9/TRANSPORTES DONA ISIDORA (LABBE)</t>
        </is>
      </c>
      <c r="I241" s="4" t="n">
        <v>1</v>
      </c>
      <c r="J241" s="5" t="inlineStr">
        <is>
          <t>PTO MONTT / VALDIVIA</t>
        </is>
      </c>
      <c r="K241" s="4" t="n">
        <v>1380</v>
      </c>
    </row>
    <row r="242">
      <c r="A242" s="2">
        <f>"119341"</f>
        <v/>
      </c>
      <c r="B242" s="2" t="inlineStr">
        <is>
          <t>HKOOB37081614 / HKOOB37081617</t>
        </is>
      </c>
      <c r="C242" s="2" t="inlineStr">
        <is>
          <t>20/05/2026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RUTA SOLITARIA ELPAC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RUTA SOLITARIA ELPAC</t>
        </is>
      </c>
      <c r="K242" s="2" t="n">
        <v>1621</v>
      </c>
    </row>
    <row r="243">
      <c r="A243" s="4" t="inlineStr">
        <is>
          <t>LAS</t>
        </is>
      </c>
      <c r="B243" s="4" t="inlineStr">
        <is>
          <t>HKOOB37058740 / HKOOB37058741 / HKOOB37063774</t>
        </is>
      </c>
      <c r="C243" s="4" t="inlineStr">
        <is>
          <t>15/05/2026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EL PINAR / LO ESPEJO</t>
        </is>
      </c>
      <c r="H243" s="5" t="inlineStr">
        <is>
          <t>SIN PROVEEDOR</t>
        </is>
      </c>
      <c r="I243" s="4" t="n">
        <v>1</v>
      </c>
      <c r="J243" s="5" t="inlineStr">
        <is>
          <t>EL PINAR / LO ESPEJO</t>
        </is>
      </c>
      <c r="K243" s="4" t="n">
        <v>3493</v>
      </c>
    </row>
  </sheetData>
  <autoFilter ref="A1:K2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2026-05-20T18:12:03Z</dcterms:created>
  <dcterms:modified xmlns:dcterms="http://purl.org/dc/terms/" xmlns:xsi="http://www.w3.org/2001/XMLSchema-instance" xsi:type="dcterms:W3CDTF">2026-05-20T18:12:03Z</dcterms:modified>
</cp:coreProperties>
</file>