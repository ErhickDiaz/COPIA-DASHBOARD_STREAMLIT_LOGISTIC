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"119230"</f>
        <v/>
      </c>
      <c r="B224" s="2" t="inlineStr">
        <is>
          <t>HKOOB37052764</t>
        </is>
      </c>
      <c r="C224" s="2" t="inlineStr">
        <is>
          <t>14/05/2026</t>
        </is>
      </c>
      <c r="D224" s="2" t="inlineStr">
        <is>
          <t>01:36:43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1931</v>
      </c>
    </row>
    <row r="225">
      <c r="A225" s="4">
        <f>"38255"</f>
        <v/>
      </c>
      <c r="B225" s="4" t="inlineStr">
        <is>
          <t>HKOOB37046785</t>
        </is>
      </c>
      <c r="C225" s="4" t="inlineStr">
        <is>
          <t>14/05/2026</t>
        </is>
      </c>
      <c r="D225" s="4" t="inlineStr">
        <is>
          <t>01:44:27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1214</v>
      </c>
    </row>
    <row r="226">
      <c r="A226" s="2">
        <f>"38263"</f>
        <v/>
      </c>
      <c r="B226" s="2" t="inlineStr">
        <is>
          <t>HKOOB37046786</t>
        </is>
      </c>
      <c r="C226" s="2" t="inlineStr">
        <is>
          <t>14/05/2026</t>
        </is>
      </c>
      <c r="D226" s="2" t="inlineStr">
        <is>
          <t>02:46:01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1157</v>
      </c>
    </row>
    <row r="227">
      <c r="A227" s="4">
        <f>"38265"</f>
        <v/>
      </c>
      <c r="B227" s="4" t="inlineStr">
        <is>
          <t>HKOOB37046787</t>
        </is>
      </c>
      <c r="C227" s="4" t="inlineStr">
        <is>
          <t>14/05/2026</t>
        </is>
      </c>
      <c r="D227" s="4" t="inlineStr">
        <is>
          <t>03:31:04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1342</v>
      </c>
    </row>
    <row r="228">
      <c r="A228" s="2">
        <f>"38267"</f>
        <v/>
      </c>
      <c r="B228" s="2" t="inlineStr">
        <is>
          <t>HKOOB37052758</t>
        </is>
      </c>
      <c r="C228" s="2" t="inlineStr">
        <is>
          <t>14/05/2026</t>
        </is>
      </c>
      <c r="D228" s="2" t="inlineStr">
        <is>
          <t>04:02:09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1318</v>
      </c>
    </row>
    <row r="229">
      <c r="A229" s="4">
        <f>"119232"</f>
        <v/>
      </c>
      <c r="B229" s="4" t="inlineStr">
        <is>
          <t>HKOOB37052457</t>
        </is>
      </c>
      <c r="C229" s="4" t="inlineStr">
        <is>
          <t>14/05/2026</t>
        </is>
      </c>
      <c r="D229" s="4" t="inlineStr">
        <is>
          <t>04:24:38</t>
        </is>
      </c>
      <c r="E229" s="4" t="inlineStr">
        <is>
          <t>mayo</t>
        </is>
      </c>
      <c r="F229" s="4" t="n">
        <v>2026</v>
      </c>
      <c r="G229" s="5" t="inlineStr">
        <is>
          <t>LOS ANDES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LOS ANDES</t>
        </is>
      </c>
      <c r="K229" s="4" t="n">
        <v>1458</v>
      </c>
    </row>
    <row r="230">
      <c r="A230" s="2">
        <f>"119231"</f>
        <v/>
      </c>
      <c r="B230" s="2" t="inlineStr">
        <is>
          <t>HKOOB37033361</t>
        </is>
      </c>
      <c r="C230" s="2" t="inlineStr">
        <is>
          <t>14/05/2026</t>
        </is>
      </c>
      <c r="D230" s="2" t="inlineStr">
        <is>
          <t>04:41:40</t>
        </is>
      </c>
      <c r="E230" s="2" t="inlineStr">
        <is>
          <t>mayo</t>
        </is>
      </c>
      <c r="F230" s="2" t="n">
        <v>2026</v>
      </c>
      <c r="G230" s="3" t="inlineStr">
        <is>
          <t>VINA DEL MAR</t>
        </is>
      </c>
      <c r="H230" s="3" t="inlineStr">
        <is>
          <t>16575553-7/GABRIEL ALEJANDRO ESTAY CARRAZANA</t>
        </is>
      </c>
      <c r="I230" s="2" t="n">
        <v>1</v>
      </c>
      <c r="J230" s="3" t="inlineStr">
        <is>
          <t>VINA DEL MAR</t>
        </is>
      </c>
      <c r="K230" s="2" t="n">
        <v>1718</v>
      </c>
    </row>
    <row r="231">
      <c r="A231" s="4">
        <f>"119234"</f>
        <v/>
      </c>
      <c r="B231" s="4" t="inlineStr">
        <is>
          <t>HKOOB37052447</t>
        </is>
      </c>
      <c r="C231" s="4" t="inlineStr">
        <is>
          <t>14/05/2026</t>
        </is>
      </c>
      <c r="D231" s="4" t="inlineStr">
        <is>
          <t>05:22:21</t>
        </is>
      </c>
      <c r="E231" s="4" t="inlineStr">
        <is>
          <t>mayo</t>
        </is>
      </c>
      <c r="F231" s="4" t="n">
        <v>2026</v>
      </c>
      <c r="G231" s="5" t="inlineStr">
        <is>
          <t>RANCAGUA</t>
        </is>
      </c>
      <c r="H231" s="5" t="inlineStr">
        <is>
          <t>SIN PROVEEDOR</t>
        </is>
      </c>
      <c r="I231" s="4" t="n">
        <v>1</v>
      </c>
      <c r="J231" s="5" t="inlineStr">
        <is>
          <t>RANCAGUA</t>
        </is>
      </c>
      <c r="K231" s="4" t="n">
        <v>1770</v>
      </c>
    </row>
    <row r="232">
      <c r="A232" s="2">
        <f>"119233"</f>
        <v/>
      </c>
      <c r="B232" s="2" t="inlineStr">
        <is>
          <t>HKOOB37052451</t>
        </is>
      </c>
      <c r="C232" s="2" t="inlineStr">
        <is>
          <t>14/05/2026</t>
        </is>
      </c>
      <c r="D232" s="2" t="inlineStr">
        <is>
          <t>05:44:01</t>
        </is>
      </c>
      <c r="E232" s="2" t="inlineStr">
        <is>
          <t>mayo</t>
        </is>
      </c>
      <c r="F232" s="2" t="n">
        <v>2026</v>
      </c>
      <c r="G232" s="3" t="inlineStr">
        <is>
          <t>MELIPILLA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MELIPILLA</t>
        </is>
      </c>
      <c r="K232" s="2" t="n">
        <v>1598</v>
      </c>
    </row>
    <row r="233">
      <c r="A233" s="4">
        <f>"119235"</f>
        <v/>
      </c>
      <c r="B233" s="4" t="inlineStr">
        <is>
          <t>HKOOB37052445</t>
        </is>
      </c>
      <c r="C233" s="4" t="inlineStr">
        <is>
          <t>14/05/2026</t>
        </is>
      </c>
      <c r="D233" s="4" t="inlineStr">
        <is>
          <t>06:57:08</t>
        </is>
      </c>
      <c r="E233" s="4" t="inlineStr">
        <is>
          <t>mayo</t>
        </is>
      </c>
      <c r="F233" s="4" t="n">
        <v>2026</v>
      </c>
      <c r="G233" s="5" t="inlineStr">
        <is>
          <t>RANCAGUA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RANCAGUA</t>
        </is>
      </c>
      <c r="K233" s="4" t="n">
        <v>1517</v>
      </c>
    </row>
    <row r="234">
      <c r="A234" s="2">
        <f>"119236"</f>
        <v/>
      </c>
      <c r="B234" s="2" t="inlineStr">
        <is>
          <t>HKOOB37053066</t>
        </is>
      </c>
      <c r="C234" s="2" t="inlineStr">
        <is>
          <t>14/05/2026</t>
        </is>
      </c>
      <c r="D234" s="2" t="inlineStr">
        <is>
          <t>08:12:46</t>
        </is>
      </c>
      <c r="E234" s="2" t="inlineStr">
        <is>
          <t>mayo</t>
        </is>
      </c>
      <c r="F234" s="2" t="n">
        <v>2026</v>
      </c>
      <c r="G234" s="3" t="inlineStr">
        <is>
          <t>VALDIVIA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VALDIVIA</t>
        </is>
      </c>
      <c r="K234" s="2" t="n">
        <v>1810</v>
      </c>
    </row>
    <row r="235">
      <c r="A235" s="4">
        <f>"38309"</f>
        <v/>
      </c>
      <c r="B235" s="4" t="inlineStr">
        <is>
          <t>HKOOB37046795</t>
        </is>
      </c>
      <c r="C235" s="4" t="inlineStr">
        <is>
          <t>14/05/2026</t>
        </is>
      </c>
      <c r="D235" s="4" t="inlineStr">
        <is>
          <t>08:49:51</t>
        </is>
      </c>
      <c r="E235" s="4" t="inlineStr">
        <is>
          <t>mayo</t>
        </is>
      </c>
      <c r="F235" s="4" t="n">
        <v>2026</v>
      </c>
      <c r="G235" s="5" t="inlineStr">
        <is>
          <t>EL PINAR</t>
        </is>
      </c>
      <c r="H235" s="5" t="inlineStr">
        <is>
          <t>SIN PROVEEDOR</t>
        </is>
      </c>
      <c r="I235" s="4" t="n">
        <v>1</v>
      </c>
      <c r="J235" s="5" t="inlineStr">
        <is>
          <t>EL PINAR</t>
        </is>
      </c>
      <c r="K235" s="4" t="n">
        <v>1285</v>
      </c>
    </row>
    <row r="236">
      <c r="A236" s="2">
        <f>"38336"</f>
        <v/>
      </c>
      <c r="B236" s="2" t="inlineStr">
        <is>
          <t>HKOOB37052759</t>
        </is>
      </c>
      <c r="C236" s="2" t="inlineStr">
        <is>
          <t>14/05/2026</t>
        </is>
      </c>
      <c r="D236" s="2" t="inlineStr">
        <is>
          <t>10:27:27</t>
        </is>
      </c>
      <c r="E236" s="2" t="inlineStr">
        <is>
          <t>mayo</t>
        </is>
      </c>
      <c r="F236" s="2" t="n">
        <v>2026</v>
      </c>
      <c r="G236" s="3" t="inlineStr">
        <is>
          <t>LO ESPEJO</t>
        </is>
      </c>
      <c r="H236" s="3" t="inlineStr">
        <is>
          <t>SIN PROVEEDOR</t>
        </is>
      </c>
      <c r="I236" s="2" t="n">
        <v>1</v>
      </c>
      <c r="J236" s="3" t="inlineStr">
        <is>
          <t>LO ESPEJO</t>
        </is>
      </c>
      <c r="K236" s="2" t="n">
        <v>1135</v>
      </c>
    </row>
    <row r="237">
      <c r="A237" s="4">
        <f>"119237"</f>
        <v/>
      </c>
      <c r="B237" s="4" t="inlineStr">
        <is>
          <t>HKOOB37052450</t>
        </is>
      </c>
      <c r="C237" s="4" t="inlineStr">
        <is>
          <t>14/05/2026</t>
        </is>
      </c>
      <c r="D237" s="4" t="inlineStr">
        <is>
          <t>10:39:46</t>
        </is>
      </c>
      <c r="E237" s="4" t="inlineStr">
        <is>
          <t>mayo</t>
        </is>
      </c>
      <c r="F237" s="4" t="n">
        <v>2026</v>
      </c>
      <c r="G237" s="5" t="inlineStr">
        <is>
          <t>PTO MONTT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</t>
        </is>
      </c>
      <c r="K237" s="4" t="n">
        <v>1658</v>
      </c>
    </row>
    <row r="238">
      <c r="A238" s="2">
        <f>"119238"</f>
        <v/>
      </c>
      <c r="B238" s="2" t="inlineStr">
        <is>
          <t>HKOOB37052772</t>
        </is>
      </c>
      <c r="C238" s="2" t="inlineStr">
        <is>
          <t>14/05/2026</t>
        </is>
      </c>
      <c r="D238" s="2" t="inlineStr">
        <is>
          <t>10:54:00</t>
        </is>
      </c>
      <c r="E238" s="2" t="inlineStr">
        <is>
          <t>mayo</t>
        </is>
      </c>
      <c r="F238" s="2" t="n">
        <v>2026</v>
      </c>
      <c r="G238" s="3" t="inlineStr">
        <is>
          <t>IQUIQUE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IQUIQUE</t>
        </is>
      </c>
      <c r="K238" s="2" t="n">
        <v>1920</v>
      </c>
    </row>
    <row r="239">
      <c r="A239" s="4">
        <f>"119069"</f>
        <v/>
      </c>
      <c r="B239" s="4" t="inlineStr">
        <is>
          <t>CHKO372804 / CHKO372827</t>
        </is>
      </c>
      <c r="C239" s="4" t="inlineStr">
        <is>
          <t>05/05/2026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LA SERENA / RUTA SOLITARIA 1059 LV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LA SERENA / RUTA SOLITARIA 1059 LV</t>
        </is>
      </c>
      <c r="K239" s="4" t="n">
        <v>1543</v>
      </c>
    </row>
    <row r="240">
      <c r="A240" s="2">
        <f>"119087"</f>
        <v/>
      </c>
      <c r="B240" s="2" t="inlineStr">
        <is>
          <t>CHKO372924 / HKOOB36982949</t>
        </is>
      </c>
      <c r="C240" s="2" t="inlineStr">
        <is>
          <t>06/05/2026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PTO MONTT / RUTA SOLITARIA ELPAC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PTO MONTT / RUTA SOLITARIA ELPAC</t>
        </is>
      </c>
      <c r="K240" s="2" t="n">
        <v>1868</v>
      </c>
    </row>
    <row r="241">
      <c r="A241" s="4">
        <f>"119112"</f>
        <v/>
      </c>
      <c r="B241" s="4" t="inlineStr">
        <is>
          <t>HKOOB36994400 / HKOOB36994408</t>
        </is>
      </c>
      <c r="C241" s="4" t="inlineStr">
        <is>
          <t>07/05/2026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77970090-9/TRANSPORTES DONA ISIDORA (LABBE)</t>
        </is>
      </c>
      <c r="I241" s="4" t="n">
        <v>1</v>
      </c>
      <c r="J241" s="5" t="inlineStr">
        <is>
          <t>PTO MONTT / VALDIVIA</t>
        </is>
      </c>
      <c r="K241" s="4" t="n">
        <v>1247</v>
      </c>
    </row>
    <row r="242">
      <c r="A242" s="2">
        <f>"119113"</f>
        <v/>
      </c>
      <c r="B242" s="2" t="inlineStr">
        <is>
          <t>CHKO373144 / HKOOB36991739</t>
        </is>
      </c>
      <c r="C242" s="2" t="inlineStr">
        <is>
          <t>07/05/2026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CHILLAN / TALCA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CHILLAN / TALCA</t>
        </is>
      </c>
      <c r="K242" s="2" t="n">
        <v>1626</v>
      </c>
    </row>
    <row r="243">
      <c r="A243" s="4">
        <f>"119118"</f>
        <v/>
      </c>
      <c r="B243" s="4" t="inlineStr">
        <is>
          <t>CHKO373029 / CHKO373166 / HKOOB36991777</t>
        </is>
      </c>
      <c r="C243" s="4" t="inlineStr">
        <is>
          <t>07/05/2026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LA SERENA / RUTA SOLITARIA 1059 LV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LA SERENA / RUTA SOLITARIA 1059 LV</t>
        </is>
      </c>
      <c r="K243" s="4" t="n">
        <v>1570</v>
      </c>
    </row>
    <row r="244">
      <c r="A244" s="2">
        <f>"119133"</f>
        <v/>
      </c>
      <c r="B244" s="2" t="inlineStr">
        <is>
          <t>CHKO373305 / HKOOB36974928</t>
        </is>
      </c>
      <c r="C244" s="2" t="inlineStr">
        <is>
          <t>08/05/2026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LOS ANGELES / TEMUCO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LOS ANGELES / TEMUCO</t>
        </is>
      </c>
      <c r="K244" s="2" t="n">
        <v>1569</v>
      </c>
    </row>
    <row r="245">
      <c r="A245" s="4">
        <f>"119142"</f>
        <v/>
      </c>
      <c r="B245" s="4" t="inlineStr">
        <is>
          <t>CHKO373309 / CHKO373325 / HKOOB36985272</t>
        </is>
      </c>
      <c r="C245" s="4" t="inlineStr">
        <is>
          <t>08/05/2026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ANTOFAGASTA / ARICA</t>
        </is>
      </c>
      <c r="H245" s="5" t="inlineStr">
        <is>
          <t>77970090-9/TRANSPORTES DONA ISIDORA (LABBE)</t>
        </is>
      </c>
      <c r="I245" s="4" t="n">
        <v>1</v>
      </c>
      <c r="J245" s="5" t="inlineStr">
        <is>
          <t>ANTOFAGASTA / ARICA</t>
        </is>
      </c>
      <c r="K245" s="4" t="n">
        <v>1716</v>
      </c>
    </row>
    <row r="246">
      <c r="A246" s="2">
        <f>"119173"</f>
        <v/>
      </c>
      <c r="B246" s="2" t="inlineStr">
        <is>
          <t>CHKO373624 / HKOOB37011942</t>
        </is>
      </c>
      <c r="C246" s="2" t="inlineStr">
        <is>
          <t>11/05/2026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PTO MONTT / VALDIVIA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PTO MONTT / VALDIVIA</t>
        </is>
      </c>
      <c r="K246" s="2" t="n">
        <v>1664</v>
      </c>
    </row>
    <row r="247">
      <c r="A247" s="4">
        <f>"119195"</f>
        <v/>
      </c>
      <c r="B247" s="4" t="inlineStr">
        <is>
          <t>CHKO373384 / HKOOB37037365</t>
        </is>
      </c>
      <c r="C247" s="4" t="inlineStr">
        <is>
          <t>12/05/2026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ANTOFAGASTA / IQUIQUE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ANTOFAGASTA / IQUIQUE</t>
        </is>
      </c>
      <c r="K247" s="4" t="n">
        <v>1786</v>
      </c>
    </row>
    <row r="248">
      <c r="A248" s="2">
        <f>"119212"</f>
        <v/>
      </c>
      <c r="B248" s="2" t="inlineStr">
        <is>
          <t>CHKO373745 / HKOOB37043861</t>
        </is>
      </c>
      <c r="C248" s="2" t="inlineStr">
        <is>
          <t>13/05/2026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PTO MONTT / RUTA SOLITARIA ELPAC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PTO MONTT / RUTA SOLITARIA ELPAC</t>
        </is>
      </c>
      <c r="K248" s="2" t="n">
        <v>1739</v>
      </c>
    </row>
    <row r="249">
      <c r="A249" s="4">
        <f>"119239"</f>
        <v/>
      </c>
      <c r="B249" s="4" t="inlineStr">
        <is>
          <t>CHKO373825 / CHKO373844</t>
        </is>
      </c>
      <c r="C249" s="4" t="inlineStr">
        <is>
          <t>14/05/2026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PTO MONTT / VALDIVIA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PTO MONTT / VALDIVIA</t>
        </is>
      </c>
      <c r="K249" s="4" t="n">
        <v>1679</v>
      </c>
    </row>
    <row r="250">
      <c r="A250" s="2" t="inlineStr">
        <is>
          <t>LAS</t>
        </is>
      </c>
      <c r="B250" s="2" t="inlineStr">
        <is>
          <t>HKOOB36985602 / HKOOB36985610 / HKOOB36991771 / HKOOB36991772 / HKOOB36997597 / HKOOB36997604 / HKOOB37004439 / HKOOB37004444 / HKOOB37004446</t>
        </is>
      </c>
      <c r="C250" s="2" t="inlineStr">
        <is>
          <t>12/05/2026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LO ESPEJO / VINA DEL MAR</t>
        </is>
      </c>
      <c r="H250" s="3" t="inlineStr">
        <is>
          <t>SIN PROVEEDOR</t>
        </is>
      </c>
      <c r="I250" s="2" t="n">
        <v>1</v>
      </c>
      <c r="J250" s="3" t="inlineStr">
        <is>
          <t>LO ESPEJO / VINA DEL MAR</t>
        </is>
      </c>
      <c r="K250" s="2" t="n">
        <v>11269</v>
      </c>
    </row>
  </sheetData>
  <autoFilter ref="A1:K25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2026-05-14T17:22:20Z</dcterms:created>
  <dcterms:modified xmlns:dcterms="http://purl.org/dc/terms/" xmlns:xsi="http://www.w3.org/2001/XMLSchema-instance" xsi:type="dcterms:W3CDTF">2026-05-14T17:22:20Z</dcterms:modified>
</cp:coreProperties>
</file>