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"119069"</f>
        <v/>
      </c>
      <c r="B203" s="4" t="inlineStr">
        <is>
          <t>CHKO372804 / CHKO372827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LA SERENA / RUTA SOLITARIA 1059 LV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LA SERENA / RUTA SOLITARIA 1059 LV</t>
        </is>
      </c>
      <c r="K203" s="4" t="n">
        <v>1543</v>
      </c>
    </row>
    <row r="204">
      <c r="A204" s="2">
        <f>"119087"</f>
        <v/>
      </c>
      <c r="B204" s="2" t="inlineStr">
        <is>
          <t>CHKO372924 / HKOOB36982949</t>
        </is>
      </c>
      <c r="C204" s="2" t="inlineStr">
        <is>
          <t>06/05/2026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RUTA SOLITARIA ELPAC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RUTA SOLITARIA ELPAC</t>
        </is>
      </c>
      <c r="K204" s="2" t="n">
        <v>1868</v>
      </c>
    </row>
    <row r="205">
      <c r="A205" s="4">
        <f>"119112"</f>
        <v/>
      </c>
      <c r="B205" s="4" t="inlineStr">
        <is>
          <t>HKOOB36994400 / HKOOB36994408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77970090-9/TRANSPORTES DONA ISIDORA (LABBE)</t>
        </is>
      </c>
      <c r="I205" s="4" t="n">
        <v>1</v>
      </c>
      <c r="J205" s="5" t="inlineStr">
        <is>
          <t>PTO MONTT / VALDIVIA</t>
        </is>
      </c>
      <c r="K205" s="4" t="n">
        <v>1247</v>
      </c>
    </row>
    <row r="206">
      <c r="A206" s="2">
        <f>"119113"</f>
        <v/>
      </c>
      <c r="B206" s="2" t="inlineStr">
        <is>
          <t>CHKO373144 / HKOOB36991739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CHILLAN / TALCA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CHILLAN / TALCA</t>
        </is>
      </c>
      <c r="K206" s="2" t="n">
        <v>1626</v>
      </c>
    </row>
    <row r="207">
      <c r="A207" s="4">
        <f>"119118"</f>
        <v/>
      </c>
      <c r="B207" s="4" t="inlineStr">
        <is>
          <t>CHKO373029 / CHKO373166 / HKOOB36991777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LA SERENA / RUTA SOLITARIA 1059 LV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LA SERENA / RUTA SOLITARIA 1059 LV</t>
        </is>
      </c>
      <c r="K207" s="4" t="n">
        <v>1570</v>
      </c>
    </row>
    <row r="208">
      <c r="A208" s="2">
        <f>"119133"</f>
        <v/>
      </c>
      <c r="B208" s="2" t="inlineStr">
        <is>
          <t>CHKO373305 / HKOOB36974928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LOS ANGELES / TEMUCO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 / TEMUCO</t>
        </is>
      </c>
      <c r="K208" s="2" t="n">
        <v>1569</v>
      </c>
    </row>
    <row r="209">
      <c r="A209" s="4">
        <f>"119142"</f>
        <v/>
      </c>
      <c r="B209" s="4" t="inlineStr">
        <is>
          <t>CHKO373309 / CHKO373325 / HKOOB36985272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1716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 t="inlineStr">
        <is>
          <t>LAS</t>
        </is>
      </c>
      <c r="B213" s="4" t="inlineStr">
        <is>
          <t>HKOOB36985602 / HKOOB36985610 / HKOOB36991771 / HKOOB36991772 / HKOOB36997597 / HKOOB36997604 / HKOOB37004439 / HKOOB37004444 / HKOOB37004446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 ESPEJO / VINA DEL MAR</t>
        </is>
      </c>
      <c r="H213" s="5" t="inlineStr">
        <is>
          <t>SIN PROVEEDOR</t>
        </is>
      </c>
      <c r="I213" s="4" t="n">
        <v>1</v>
      </c>
      <c r="J213" s="5" t="inlineStr">
        <is>
          <t>LO ESPEJO / VINA DEL MAR</t>
        </is>
      </c>
      <c r="K213" s="4" t="n">
        <v>11269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2026-05-13T14:32:29Z</dcterms:created>
  <dcterms:modified xmlns:dcterms="http://purl.org/dc/terms/" xmlns:xsi="http://www.w3.org/2001/XMLSchema-instance" xsi:type="dcterms:W3CDTF">2026-05-13T14:32:29Z</dcterms:modified>
</cp:coreProperties>
</file>