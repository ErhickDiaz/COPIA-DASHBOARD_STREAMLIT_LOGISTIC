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"119347"</f>
        <v/>
      </c>
      <c r="B213" s="4" t="inlineStr">
        <is>
          <t>HKOOB37084365</t>
        </is>
      </c>
      <c r="C213" s="4" t="inlineStr">
        <is>
          <t>20/05/2026</t>
        </is>
      </c>
      <c r="D213" s="4" t="inlineStr">
        <is>
          <t>05:19:57</t>
        </is>
      </c>
      <c r="E213" s="4" t="inlineStr">
        <is>
          <t>mayo</t>
        </is>
      </c>
      <c r="F213" s="4" t="n">
        <v>2026</v>
      </c>
      <c r="G213" s="5" t="inlineStr">
        <is>
          <t>RANCAGUA</t>
        </is>
      </c>
      <c r="H213" s="5" t="inlineStr">
        <is>
          <t>76252773-1/GARATE Y GARATE LIMITADA</t>
        </is>
      </c>
      <c r="I213" s="4" t="n">
        <v>1</v>
      </c>
      <c r="J213" s="5" t="inlineStr">
        <is>
          <t>RANCAGUA</t>
        </is>
      </c>
      <c r="K213" s="4" t="n">
        <v>1622</v>
      </c>
    </row>
    <row r="214">
      <c r="A214" s="2">
        <f>"119212"</f>
        <v/>
      </c>
      <c r="B214" s="2" t="inlineStr">
        <is>
          <t>CHKO373745 / HKOOB37043861</t>
        </is>
      </c>
      <c r="C214" s="2" t="inlineStr">
        <is>
          <t>13/05/2026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RUTA SOLITARIA ELPAC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RUTA SOLITARIA ELPAC</t>
        </is>
      </c>
      <c r="K214" s="2" t="n">
        <v>1739</v>
      </c>
    </row>
    <row r="215">
      <c r="A215" s="4">
        <f>"119239"</f>
        <v/>
      </c>
      <c r="B215" s="4" t="inlineStr">
        <is>
          <t>CHKO373825 / CHKO373844</t>
        </is>
      </c>
      <c r="C215" s="4" t="inlineStr">
        <is>
          <t>14/05/2026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1679</v>
      </c>
    </row>
    <row r="216">
      <c r="A216" s="2">
        <f>"119243"</f>
        <v/>
      </c>
      <c r="B216" s="2" t="inlineStr">
        <is>
          <t>CHKO373749 / CHKO373845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SAN FERNANDO / TALCA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 / TALCA</t>
        </is>
      </c>
      <c r="K216" s="2" t="n">
        <v>1627</v>
      </c>
    </row>
    <row r="217">
      <c r="A217" s="4">
        <f>"119255"</f>
        <v/>
      </c>
      <c r="B217" s="4" t="inlineStr">
        <is>
          <t>CHKO373695 / CHKO373826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1532</v>
      </c>
    </row>
    <row r="218">
      <c r="A218" s="2">
        <f>"119258"</f>
        <v/>
      </c>
      <c r="B218" s="2" t="inlineStr">
        <is>
          <t>CHKO373754 / CHKO373867 / CHKO373905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1708</v>
      </c>
    </row>
    <row r="219">
      <c r="A219" s="4">
        <f>"119261"</f>
        <v/>
      </c>
      <c r="B219" s="4" t="inlineStr">
        <is>
          <t>HKOOB37052768 / HKOOB37058514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1605</v>
      </c>
    </row>
    <row r="220">
      <c r="A220" s="2">
        <f>"119283"</f>
        <v/>
      </c>
      <c r="B220" s="2" t="inlineStr">
        <is>
          <t>CHKO373697 / CHKO373925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1600</v>
      </c>
    </row>
    <row r="221">
      <c r="A221" s="4">
        <f>"119286"</f>
        <v/>
      </c>
      <c r="B221" s="4" t="inlineStr">
        <is>
          <t>HKOOB37063239 / HKOOB37066332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TALCA</t>
        </is>
      </c>
      <c r="K221" s="4" t="n">
        <v>1544</v>
      </c>
    </row>
    <row r="222">
      <c r="A222" s="2">
        <f>"119288"</f>
        <v/>
      </c>
      <c r="B222" s="2" t="inlineStr">
        <is>
          <t>CHKO373986 / HKOOB37063246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</t>
        </is>
      </c>
      <c r="K222" s="2" t="n">
        <v>1682</v>
      </c>
    </row>
    <row r="223">
      <c r="A223" s="4">
        <f>"119290"</f>
        <v/>
      </c>
      <c r="B223" s="4" t="inlineStr">
        <is>
          <t>CHKO373949 / HKOOB37037366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719</v>
      </c>
    </row>
    <row r="224">
      <c r="A224" s="2">
        <f>"119299"</f>
        <v/>
      </c>
      <c r="B224" s="2" t="inlineStr">
        <is>
          <t>CHKO373702 / CHKO373911 / CHKO374004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1953</v>
      </c>
    </row>
    <row r="225">
      <c r="A225" s="4">
        <f>"119301"</f>
        <v/>
      </c>
      <c r="B225" s="4" t="inlineStr">
        <is>
          <t>CHKO374005 / HKOOB37066348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ARICA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ARICA</t>
        </is>
      </c>
      <c r="K225" s="4" t="n">
        <v>1701</v>
      </c>
    </row>
    <row r="226">
      <c r="A226" s="2">
        <f>"119302"</f>
        <v/>
      </c>
      <c r="B226" s="2" t="inlineStr">
        <is>
          <t>HKOOB37066351 / HKOOB37066352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2102</v>
      </c>
    </row>
    <row r="227">
      <c r="A227" s="4">
        <f>"119304"</f>
        <v/>
      </c>
      <c r="B227" s="4" t="inlineStr">
        <is>
          <t>HKOOB37066334 / HKOOB37066339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1619</v>
      </c>
    </row>
    <row r="228">
      <c r="A228" s="2">
        <f>"119308"</f>
        <v/>
      </c>
      <c r="B228" s="2" t="inlineStr">
        <is>
          <t>CHKO373703 / CHKO373952 / CHKO374066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1657</v>
      </c>
    </row>
    <row r="229">
      <c r="A229" s="4">
        <f>"119318"</f>
        <v/>
      </c>
      <c r="B229" s="4" t="inlineStr">
        <is>
          <t>CHKO373953 / HKOOB37075213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1380</v>
      </c>
    </row>
    <row r="230">
      <c r="A230" s="2">
        <f>"119341"</f>
        <v/>
      </c>
      <c r="B230" s="2" t="inlineStr">
        <is>
          <t>HKOOB37081614 / HKOOB37081617</t>
        </is>
      </c>
      <c r="C230" s="2" t="inlineStr">
        <is>
          <t>20/05/2026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1621</v>
      </c>
    </row>
    <row r="231">
      <c r="A231" s="4" t="inlineStr">
        <is>
          <t>LAS</t>
        </is>
      </c>
      <c r="B231" s="4" t="inlineStr">
        <is>
          <t>HKOOB37058740 / HKOOB37058741 / HKOOB37063774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EL PINAR / LO ESPEJO</t>
        </is>
      </c>
      <c r="H231" s="5" t="inlineStr">
        <is>
          <t>SIN PROVEEDOR</t>
        </is>
      </c>
      <c r="I231" s="4" t="n">
        <v>1</v>
      </c>
      <c r="J231" s="5" t="inlineStr">
        <is>
          <t>EL PINAR / LO ESPEJO</t>
        </is>
      </c>
      <c r="K231" s="4" t="n">
        <v>3493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2026-05-20T10:14:16Z</dcterms:created>
  <dcterms:modified xmlns:dcterms="http://purl.org/dc/terms/" xmlns:xsi="http://www.w3.org/2001/XMLSchema-instance" xsi:type="dcterms:W3CDTF">2026-05-20T10:14:16Z</dcterms:modified>
</cp:coreProperties>
</file>