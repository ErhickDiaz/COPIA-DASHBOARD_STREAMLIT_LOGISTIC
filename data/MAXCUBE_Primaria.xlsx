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"119212"</f>
        <v/>
      </c>
      <c r="B216" s="2" t="inlineStr">
        <is>
          <t>CHKO373745 / HKOOB37043861</t>
        </is>
      </c>
      <c r="C216" s="2" t="inlineStr">
        <is>
          <t>13/05/2026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RUTA SOLITARIA ELPAC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RUTA SOLITARIA ELPAC</t>
        </is>
      </c>
      <c r="K216" s="2" t="n">
        <v>1739</v>
      </c>
    </row>
    <row r="217">
      <c r="A217" s="4">
        <f>"119239"</f>
        <v/>
      </c>
      <c r="B217" s="4" t="inlineStr">
        <is>
          <t>CHKO373825 / CHKO373844</t>
        </is>
      </c>
      <c r="C217" s="4" t="inlineStr">
        <is>
          <t>14/05/2026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VALDIVIA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PTO MONTT / VALDIVIA</t>
        </is>
      </c>
      <c r="K217" s="4" t="n">
        <v>1679</v>
      </c>
    </row>
    <row r="218">
      <c r="A218" s="2">
        <f>"119243"</f>
        <v/>
      </c>
      <c r="B218" s="2" t="inlineStr">
        <is>
          <t>CHKO373749 / CHKO373845</t>
        </is>
      </c>
      <c r="C218" s="2" t="inlineStr">
        <is>
          <t>14/05/2026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SAN FERNANDO / TALCA</t>
        </is>
      </c>
      <c r="H218" s="3" t="inlineStr">
        <is>
          <t>76252773-1/GARATE Y GARATE LIMITADA</t>
        </is>
      </c>
      <c r="I218" s="2" t="n">
        <v>1</v>
      </c>
      <c r="J218" s="3" t="inlineStr">
        <is>
          <t>SAN FERNANDO / TALCA</t>
        </is>
      </c>
      <c r="K218" s="2" t="n">
        <v>1627</v>
      </c>
    </row>
    <row r="219">
      <c r="A219" s="4">
        <f>"119255"</f>
        <v/>
      </c>
      <c r="B219" s="4" t="inlineStr">
        <is>
          <t>CHKO373695 / CHKO373826</t>
        </is>
      </c>
      <c r="C219" s="4" t="inlineStr">
        <is>
          <t>15/05/2026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LOS ANGELES / TEMUCO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LOS ANGELES / TEMUCO</t>
        </is>
      </c>
      <c r="K219" s="4" t="n">
        <v>1532</v>
      </c>
    </row>
    <row r="220">
      <c r="A220" s="2">
        <f>"119258"</f>
        <v/>
      </c>
      <c r="B220" s="2" t="inlineStr">
        <is>
          <t>CHKO373754 / CHKO373867 / CHKO373905</t>
        </is>
      </c>
      <c r="C220" s="2" t="inlineStr">
        <is>
          <t>15/05/2026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LA SERENA / RUTA SOLITARIA 1059 LV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 / RUTA SOLITARIA 1059 LV</t>
        </is>
      </c>
      <c r="K220" s="2" t="n">
        <v>1708</v>
      </c>
    </row>
    <row r="221">
      <c r="A221" s="4">
        <f>"119261"</f>
        <v/>
      </c>
      <c r="B221" s="4" t="inlineStr">
        <is>
          <t>HKOOB37052768 / HKOOB37058514</t>
        </is>
      </c>
      <c r="C221" s="4" t="inlineStr">
        <is>
          <t>15/05/2026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COPIAPO / 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COPIAPO / LA SERENA</t>
        </is>
      </c>
      <c r="K221" s="4" t="n">
        <v>1605</v>
      </c>
    </row>
    <row r="222">
      <c r="A222" s="2">
        <f>"119283"</f>
        <v/>
      </c>
      <c r="B222" s="2" t="inlineStr">
        <is>
          <t>CHKO373697 / CHKO373925</t>
        </is>
      </c>
      <c r="C222" s="2" t="inlineStr">
        <is>
          <t>16/05/2026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LOS ANGELES / TEMUCO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LOS ANGELES / TEMUCO</t>
        </is>
      </c>
      <c r="K222" s="2" t="n">
        <v>1600</v>
      </c>
    </row>
    <row r="223">
      <c r="A223" s="4">
        <f>"119286"</f>
        <v/>
      </c>
      <c r="B223" s="4" t="inlineStr">
        <is>
          <t>HKOOB37063239 / HKOOB37066332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TALCA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TALCA</t>
        </is>
      </c>
      <c r="K223" s="4" t="n">
        <v>1544</v>
      </c>
    </row>
    <row r="224">
      <c r="A224" s="2">
        <f>"119288"</f>
        <v/>
      </c>
      <c r="B224" s="2" t="inlineStr">
        <is>
          <t>CHKO373986 / HKOOB37063246</t>
        </is>
      </c>
      <c r="C224" s="2" t="inlineStr">
        <is>
          <t>16/05/2026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LOS ANGELES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LOS ANGELES</t>
        </is>
      </c>
      <c r="K224" s="2" t="n">
        <v>1682</v>
      </c>
    </row>
    <row r="225">
      <c r="A225" s="4">
        <f>"119290"</f>
        <v/>
      </c>
      <c r="B225" s="4" t="inlineStr">
        <is>
          <t>CHKO373949 / HKOOB37037366</t>
        </is>
      </c>
      <c r="C225" s="4" t="inlineStr">
        <is>
          <t>16/05/2026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ANTOFAGASTA / IQUIQUE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ANTOFAGASTA / IQUIQUE</t>
        </is>
      </c>
      <c r="K225" s="4" t="n">
        <v>719</v>
      </c>
    </row>
    <row r="226">
      <c r="A226" s="2">
        <f>"119299"</f>
        <v/>
      </c>
      <c r="B226" s="2" t="inlineStr">
        <is>
          <t>CHKO373702 / CHKO373911 / CHKO374004</t>
        </is>
      </c>
      <c r="C226" s="2" t="inlineStr">
        <is>
          <t>17/05/2026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VALDIVIA</t>
        </is>
      </c>
      <c r="K226" s="2" t="n">
        <v>1953</v>
      </c>
    </row>
    <row r="227">
      <c r="A227" s="4">
        <f>"119301"</f>
        <v/>
      </c>
      <c r="B227" s="4" t="inlineStr">
        <is>
          <t>CHKO374005 / HKOOB37066348</t>
        </is>
      </c>
      <c r="C227" s="4" t="inlineStr">
        <is>
          <t>18/05/2026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ARICA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ARICA</t>
        </is>
      </c>
      <c r="K227" s="4" t="n">
        <v>1701</v>
      </c>
    </row>
    <row r="228">
      <c r="A228" s="2">
        <f>"119302"</f>
        <v/>
      </c>
      <c r="B228" s="2" t="inlineStr">
        <is>
          <t>HKOOB37066351 / HKOOB37066352</t>
        </is>
      </c>
      <c r="C228" s="2" t="inlineStr">
        <is>
          <t>17/05/2026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</t>
        </is>
      </c>
      <c r="H228" s="3" t="inlineStr">
        <is>
          <t>76746317-0/TRAILER LOGISTICS SPA</t>
        </is>
      </c>
      <c r="I228" s="2" t="n">
        <v>1</v>
      </c>
      <c r="J228" s="3" t="inlineStr">
        <is>
          <t>ANTOFAGASTA</t>
        </is>
      </c>
      <c r="K228" s="2" t="n">
        <v>2102</v>
      </c>
    </row>
    <row r="229">
      <c r="A229" s="4">
        <f>"119304"</f>
        <v/>
      </c>
      <c r="B229" s="4" t="inlineStr">
        <is>
          <t>HKOOB37066334 / HKOOB37066339</t>
        </is>
      </c>
      <c r="C229" s="4" t="inlineStr">
        <is>
          <t>18/05/2026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COPIAPO / LA SERENA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COPIAPO / LA SERENA</t>
        </is>
      </c>
      <c r="K229" s="4" t="n">
        <v>1619</v>
      </c>
    </row>
    <row r="230">
      <c r="A230" s="2">
        <f>"119308"</f>
        <v/>
      </c>
      <c r="B230" s="2" t="inlineStr">
        <is>
          <t>CHKO373703 / CHKO373952 / CHKO374066</t>
        </is>
      </c>
      <c r="C230" s="2" t="inlineStr">
        <is>
          <t>18/05/2026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LA SERENA / RUTA SOLITARIA 1059 LV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LA SERENA / RUTA SOLITARIA 1059 LV</t>
        </is>
      </c>
      <c r="K230" s="2" t="n">
        <v>1657</v>
      </c>
    </row>
    <row r="231">
      <c r="A231" s="4">
        <f>"119318"</f>
        <v/>
      </c>
      <c r="B231" s="4" t="inlineStr">
        <is>
          <t>CHKO373953 / HKOOB37075213</t>
        </is>
      </c>
      <c r="C231" s="4" t="inlineStr">
        <is>
          <t>18/05/2026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77970090-9/TRANSPORTES DONA ISIDORA (LABBE)</t>
        </is>
      </c>
      <c r="I231" s="4" t="n">
        <v>1</v>
      </c>
      <c r="J231" s="5" t="inlineStr">
        <is>
          <t>PTO MONTT / VALDIVIA</t>
        </is>
      </c>
      <c r="K231" s="4" t="n">
        <v>1380</v>
      </c>
    </row>
    <row r="232">
      <c r="A232" s="2">
        <f>"119341"</f>
        <v/>
      </c>
      <c r="B232" s="2" t="inlineStr">
        <is>
          <t>HKOOB37081614 / HKOOB37081617</t>
        </is>
      </c>
      <c r="C232" s="2" t="inlineStr">
        <is>
          <t>20/05/2026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RUTA SOLITARIA ELPAC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PTO MONTT / RUTA SOLITARIA ELPAC</t>
        </is>
      </c>
      <c r="K232" s="2" t="n">
        <v>1621</v>
      </c>
    </row>
    <row r="233">
      <c r="A233" s="4" t="inlineStr">
        <is>
          <t>LAS</t>
        </is>
      </c>
      <c r="B233" s="4" t="inlineStr">
        <is>
          <t>HKOOB37058740 / HKOOB37058741 / HKOOB37063774</t>
        </is>
      </c>
      <c r="C233" s="4" t="inlineStr">
        <is>
          <t>15/05/2026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EL PINAR / LO ESPEJO</t>
        </is>
      </c>
      <c r="H233" s="5" t="inlineStr">
        <is>
          <t>SIN PROVEEDOR</t>
        </is>
      </c>
      <c r="I233" s="4" t="n">
        <v>1</v>
      </c>
      <c r="J233" s="5" t="inlineStr">
        <is>
          <t>EL PINAR / LO ESPEJO</t>
        </is>
      </c>
      <c r="K233" s="4" t="n">
        <v>3493</v>
      </c>
    </row>
  </sheetData>
  <autoFilter ref="A1:K2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2026-05-20T12:06:40Z</dcterms:created>
  <dcterms:modified xmlns:dcterms="http://purl.org/dc/terms/" xmlns:xsi="http://www.w3.org/2001/XMLSchema-instance" xsi:type="dcterms:W3CDTF">2026-05-20T12:06:40Z</dcterms:modified>
</cp:coreProperties>
</file>