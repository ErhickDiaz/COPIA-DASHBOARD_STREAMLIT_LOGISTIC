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"38822"</f>
        <v/>
      </c>
      <c r="B195" s="4" t="inlineStr">
        <is>
          <t>HKOOB37067768</t>
        </is>
      </c>
      <c r="C195" s="4" t="inlineStr">
        <is>
          <t>19/05/2026</t>
        </is>
      </c>
      <c r="D195" s="4" t="inlineStr">
        <is>
          <t>00:58:10</t>
        </is>
      </c>
      <c r="E195" s="4" t="inlineStr">
        <is>
          <t>mayo</t>
        </is>
      </c>
      <c r="F195" s="4" t="n">
        <v>2026</v>
      </c>
      <c r="G195" s="5" t="inlineStr">
        <is>
          <t>EL PINAR</t>
        </is>
      </c>
      <c r="H195" s="5" t="inlineStr">
        <is>
          <t>SIN PROVEEDOR</t>
        </is>
      </c>
      <c r="I195" s="4" t="n">
        <v>1</v>
      </c>
      <c r="J195" s="5" t="inlineStr">
        <is>
          <t>EL PINAR</t>
        </is>
      </c>
      <c r="K195" s="4" t="n">
        <v>1341</v>
      </c>
    </row>
    <row r="196">
      <c r="A196" s="2">
        <f>"38824"</f>
        <v/>
      </c>
      <c r="B196" s="2" t="inlineStr">
        <is>
          <t>HKOOB37067761</t>
        </is>
      </c>
      <c r="C196" s="2" t="inlineStr">
        <is>
          <t>19/05/2026</t>
        </is>
      </c>
      <c r="D196" s="2" t="inlineStr">
        <is>
          <t>01:18:53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1637</v>
      </c>
    </row>
    <row r="197">
      <c r="A197" s="4">
        <f>"119319"</f>
        <v/>
      </c>
      <c r="B197" s="4" t="inlineStr">
        <is>
          <t>HKOOB37067770</t>
        </is>
      </c>
      <c r="C197" s="4" t="inlineStr">
        <is>
          <t>19/05/2026</t>
        </is>
      </c>
      <c r="D197" s="4" t="inlineStr">
        <is>
          <t>01:56:27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1687</v>
      </c>
    </row>
    <row r="198">
      <c r="A198" s="2">
        <f>"119320"</f>
        <v/>
      </c>
      <c r="B198" s="2" t="inlineStr">
        <is>
          <t>HKOOB37075211</t>
        </is>
      </c>
      <c r="C198" s="2" t="inlineStr">
        <is>
          <t>19/05/2026</t>
        </is>
      </c>
      <c r="D198" s="2" t="inlineStr">
        <is>
          <t>02:42:55</t>
        </is>
      </c>
      <c r="E198" s="2" t="inlineStr">
        <is>
          <t>mayo</t>
        </is>
      </c>
      <c r="F198" s="2" t="n">
        <v>2026</v>
      </c>
      <c r="G198" s="3" t="inlineStr">
        <is>
          <t>LOS ANDES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LOS ANDES</t>
        </is>
      </c>
      <c r="K198" s="2" t="n">
        <v>1206</v>
      </c>
    </row>
    <row r="199">
      <c r="A199" s="4">
        <f>"119322"</f>
        <v/>
      </c>
      <c r="B199" s="4" t="inlineStr">
        <is>
          <t>CHKO374068</t>
        </is>
      </c>
      <c r="C199" s="4" t="inlineStr">
        <is>
          <t>19/05/2026</t>
        </is>
      </c>
      <c r="D199" s="4" t="inlineStr">
        <is>
          <t>03:01:52</t>
        </is>
      </c>
      <c r="E199" s="4" t="inlineStr">
        <is>
          <t>mayo</t>
        </is>
      </c>
      <c r="F199" s="4" t="n">
        <v>2026</v>
      </c>
      <c r="G199" s="5" t="inlineStr">
        <is>
          <t>TEMUCO</t>
        </is>
      </c>
      <c r="H199" s="5" t="inlineStr">
        <is>
          <t>77636200-K/TRANSPORTES SAN GABRIEL LTDA.</t>
        </is>
      </c>
      <c r="I199" s="4" t="n">
        <v>1</v>
      </c>
      <c r="J199" s="5" t="inlineStr">
        <is>
          <t>TEMUCO</t>
        </is>
      </c>
      <c r="K199" s="4" t="n">
        <v>1418</v>
      </c>
    </row>
    <row r="200">
      <c r="A200" s="2">
        <f>"38829"</f>
        <v/>
      </c>
      <c r="B200" s="2" t="inlineStr">
        <is>
          <t>HKOOB37067762</t>
        </is>
      </c>
      <c r="C200" s="2" t="inlineStr">
        <is>
          <t>19/05/2026</t>
        </is>
      </c>
      <c r="D200" s="2" t="inlineStr">
        <is>
          <t>03:29:51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1565</v>
      </c>
    </row>
    <row r="201">
      <c r="A201" s="4">
        <f>"119321"</f>
        <v/>
      </c>
      <c r="B201" s="4" t="inlineStr">
        <is>
          <t>HKOOB37075697</t>
        </is>
      </c>
      <c r="C201" s="4" t="inlineStr">
        <is>
          <t>19/05/2026</t>
        </is>
      </c>
      <c r="D201" s="4" t="inlineStr">
        <is>
          <t>03:51:57</t>
        </is>
      </c>
      <c r="E201" s="4" t="inlineStr">
        <is>
          <t>mayo</t>
        </is>
      </c>
      <c r="F201" s="4" t="n">
        <v>2026</v>
      </c>
      <c r="G201" s="5" t="inlineStr">
        <is>
          <t>VINA DEL MAR</t>
        </is>
      </c>
      <c r="H201" s="5" t="inlineStr">
        <is>
          <t>16575553-7/GABRIEL ALEJANDRO ESTAY CARRAZANA</t>
        </is>
      </c>
      <c r="I201" s="4" t="n">
        <v>1</v>
      </c>
      <c r="J201" s="5" t="inlineStr">
        <is>
          <t>VINA DEL MAR</t>
        </is>
      </c>
      <c r="K201" s="4" t="n">
        <v>1559</v>
      </c>
    </row>
    <row r="202">
      <c r="A202" s="2">
        <f>"119323"</f>
        <v/>
      </c>
      <c r="B202" s="2" t="inlineStr">
        <is>
          <t>HKOOB37077212</t>
        </is>
      </c>
      <c r="C202" s="2" t="inlineStr">
        <is>
          <t>19/05/2026</t>
        </is>
      </c>
      <c r="D202" s="2" t="inlineStr">
        <is>
          <t>03:52:17</t>
        </is>
      </c>
      <c r="E202" s="2" t="inlineStr">
        <is>
          <t>mayo</t>
        </is>
      </c>
      <c r="F202" s="2" t="n">
        <v>2026</v>
      </c>
      <c r="G202" s="3" t="inlineStr">
        <is>
          <t>ANTOFAGASTA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ANTOFAGASTA</t>
        </is>
      </c>
      <c r="K202" s="2" t="n">
        <v>1836</v>
      </c>
    </row>
    <row r="203">
      <c r="A203" s="4">
        <f>"119325"</f>
        <v/>
      </c>
      <c r="B203" s="4" t="inlineStr">
        <is>
          <t>HKOOB37075220</t>
        </is>
      </c>
      <c r="C203" s="4" t="inlineStr">
        <is>
          <t>19/05/2026</t>
        </is>
      </c>
      <c r="D203" s="4" t="inlineStr">
        <is>
          <t>04:17:19</t>
        </is>
      </c>
      <c r="E203" s="4" t="inlineStr">
        <is>
          <t>mayo</t>
        </is>
      </c>
      <c r="F203" s="4" t="n">
        <v>2026</v>
      </c>
      <c r="G203" s="5" t="inlineStr">
        <is>
          <t>MELIPILLA</t>
        </is>
      </c>
      <c r="H203" s="5" t="inlineStr">
        <is>
          <t>77970090-9/TRANSPORTES DONA ISIDORA (LABBE)</t>
        </is>
      </c>
      <c r="I203" s="4" t="n">
        <v>1</v>
      </c>
      <c r="J203" s="5" t="inlineStr">
        <is>
          <t>MELIPILLA</t>
        </is>
      </c>
      <c r="K203" s="4" t="n">
        <v>1729</v>
      </c>
    </row>
    <row r="204">
      <c r="A204" s="2">
        <f>"119324"</f>
        <v/>
      </c>
      <c r="B204" s="2" t="inlineStr">
        <is>
          <t>HKOOB37075207</t>
        </is>
      </c>
      <c r="C204" s="2" t="inlineStr">
        <is>
          <t>19/05/2026</t>
        </is>
      </c>
      <c r="D204" s="2" t="inlineStr">
        <is>
          <t>05:33:10</t>
        </is>
      </c>
      <c r="E204" s="2" t="inlineStr">
        <is>
          <t>mayo</t>
        </is>
      </c>
      <c r="F204" s="2" t="n">
        <v>2026</v>
      </c>
      <c r="G204" s="3" t="inlineStr">
        <is>
          <t>RANCAGUA</t>
        </is>
      </c>
      <c r="H204" s="3" t="inlineStr">
        <is>
          <t>76252773-1/GARATE Y GARATE LIMITADA</t>
        </is>
      </c>
      <c r="I204" s="2" t="n">
        <v>1</v>
      </c>
      <c r="J204" s="3" t="inlineStr">
        <is>
          <t>RANCAGUA</t>
        </is>
      </c>
      <c r="K204" s="2" t="n">
        <v>1637</v>
      </c>
    </row>
    <row r="205">
      <c r="A205" s="4">
        <f>"119326"</f>
        <v/>
      </c>
      <c r="B205" s="4" t="inlineStr">
        <is>
          <t>HKOOB37075217</t>
        </is>
      </c>
      <c r="C205" s="4" t="inlineStr">
        <is>
          <t>19/05/2026</t>
        </is>
      </c>
      <c r="D205" s="4" t="inlineStr">
        <is>
          <t>07:19:58</t>
        </is>
      </c>
      <c r="E205" s="4" t="inlineStr">
        <is>
          <t>mayo</t>
        </is>
      </c>
      <c r="F205" s="4" t="n">
        <v>2026</v>
      </c>
      <c r="G205" s="5" t="inlineStr">
        <is>
          <t>TALCA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TALCA</t>
        </is>
      </c>
      <c r="K205" s="4" t="n">
        <v>1492</v>
      </c>
    </row>
    <row r="206">
      <c r="A206" s="2">
        <f>"119328"</f>
        <v/>
      </c>
      <c r="B206" s="2" t="inlineStr">
        <is>
          <t>HKOOB37077210</t>
        </is>
      </c>
      <c r="C206" s="2" t="inlineStr">
        <is>
          <t>19/05/2026</t>
        </is>
      </c>
      <c r="D206" s="2" t="inlineStr">
        <is>
          <t>07:29:52</t>
        </is>
      </c>
      <c r="E206" s="2" t="inlineStr">
        <is>
          <t>mayo</t>
        </is>
      </c>
      <c r="F206" s="2" t="n">
        <v>2026</v>
      </c>
      <c r="G206" s="3" t="inlineStr">
        <is>
          <t>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IQUIQUE</t>
        </is>
      </c>
      <c r="K206" s="2" t="n">
        <v>1855</v>
      </c>
    </row>
    <row r="207">
      <c r="A207" s="4">
        <f>"119327"</f>
        <v/>
      </c>
      <c r="B207" s="4" t="inlineStr">
        <is>
          <t>HKOOB37066345</t>
        </is>
      </c>
      <c r="C207" s="4" t="inlineStr">
        <is>
          <t>19/05/2026</t>
        </is>
      </c>
      <c r="D207" s="4" t="inlineStr">
        <is>
          <t>07:47:17</t>
        </is>
      </c>
      <c r="E207" s="4" t="inlineStr">
        <is>
          <t>mayo</t>
        </is>
      </c>
      <c r="F207" s="4" t="n">
        <v>2026</v>
      </c>
      <c r="G207" s="5" t="inlineStr">
        <is>
          <t>PTO MONTT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</t>
        </is>
      </c>
      <c r="K207" s="4" t="n">
        <v>1716</v>
      </c>
    </row>
    <row r="208">
      <c r="A208" s="2">
        <f>"38874"</f>
        <v/>
      </c>
      <c r="B208" s="2" t="inlineStr">
        <is>
          <t>HKOOB37075701</t>
        </is>
      </c>
      <c r="C208" s="2" t="inlineStr">
        <is>
          <t>19/05/2026</t>
        </is>
      </c>
      <c r="D208" s="2" t="inlineStr">
        <is>
          <t>08:45:33</t>
        </is>
      </c>
      <c r="E208" s="2" t="inlineStr">
        <is>
          <t>mayo</t>
        </is>
      </c>
      <c r="F208" s="2" t="n">
        <v>2026</v>
      </c>
      <c r="G208" s="3" t="inlineStr">
        <is>
          <t>EL PINAR</t>
        </is>
      </c>
      <c r="H208" s="3" t="inlineStr">
        <is>
          <t>SIN PROVEEDOR</t>
        </is>
      </c>
      <c r="I208" s="2" t="n">
        <v>1</v>
      </c>
      <c r="J208" s="3" t="inlineStr">
        <is>
          <t>EL PINAR</t>
        </is>
      </c>
      <c r="K208" s="2" t="n">
        <v>1051</v>
      </c>
    </row>
    <row r="209">
      <c r="A209" s="4">
        <f>"119329"</f>
        <v/>
      </c>
      <c r="B209" s="4" t="inlineStr">
        <is>
          <t>HKOOB37075209</t>
        </is>
      </c>
      <c r="C209" s="4" t="inlineStr">
        <is>
          <t>19/05/2026</t>
        </is>
      </c>
      <c r="D209" s="4" t="inlineStr">
        <is>
          <t>09:46:41</t>
        </is>
      </c>
      <c r="E209" s="4" t="inlineStr">
        <is>
          <t>mayo</t>
        </is>
      </c>
      <c r="F209" s="4" t="n">
        <v>2026</v>
      </c>
      <c r="G209" s="5" t="inlineStr">
        <is>
          <t>CONCEPCION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CONCEPCION</t>
        </is>
      </c>
      <c r="K209" s="4" t="n">
        <v>1780</v>
      </c>
    </row>
    <row r="210">
      <c r="A210" s="2">
        <f>"119330"</f>
        <v/>
      </c>
      <c r="B210" s="2" t="inlineStr">
        <is>
          <t>HKOOB37075216</t>
        </is>
      </c>
      <c r="C210" s="2" t="inlineStr">
        <is>
          <t>19/05/2026</t>
        </is>
      </c>
      <c r="D210" s="2" t="inlineStr">
        <is>
          <t>11:10:19</t>
        </is>
      </c>
      <c r="E210" s="2" t="inlineStr">
        <is>
          <t>mayo</t>
        </is>
      </c>
      <c r="F210" s="2" t="n">
        <v>2026</v>
      </c>
      <c r="G210" s="3" t="inlineStr">
        <is>
          <t>LOS ANGELES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LOS ANGELES</t>
        </is>
      </c>
      <c r="K210" s="2" t="n">
        <v>1805</v>
      </c>
    </row>
    <row r="211">
      <c r="A211" s="4">
        <f>"38883"</f>
        <v/>
      </c>
      <c r="B211" s="4" t="inlineStr">
        <is>
          <t>HKOOB37067764</t>
        </is>
      </c>
      <c r="C211" s="4" t="inlineStr">
        <is>
          <t>19/05/2026</t>
        </is>
      </c>
      <c r="D211" s="4" t="inlineStr">
        <is>
          <t>11:17:29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1112</v>
      </c>
    </row>
    <row r="212">
      <c r="A212" s="2">
        <f>"38897"</f>
        <v/>
      </c>
      <c r="B212" s="2" t="inlineStr">
        <is>
          <t>HKOOB37075687</t>
        </is>
      </c>
      <c r="C212" s="2" t="inlineStr">
        <is>
          <t>19/05/2026</t>
        </is>
      </c>
      <c r="D212" s="2" t="inlineStr">
        <is>
          <t>12:21:21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1399</v>
      </c>
    </row>
    <row r="213">
      <c r="A213" s="4">
        <f>"119331"</f>
        <v/>
      </c>
      <c r="B213" s="4" t="inlineStr">
        <is>
          <t>CHKO373955</t>
        </is>
      </c>
      <c r="C213" s="4" t="inlineStr">
        <is>
          <t>19/05/2026</t>
        </is>
      </c>
      <c r="D213" s="4" t="inlineStr">
        <is>
          <t>15:04:54</t>
        </is>
      </c>
      <c r="E213" s="4" t="inlineStr">
        <is>
          <t>mayo</t>
        </is>
      </c>
      <c r="F213" s="4" t="n">
        <v>2026</v>
      </c>
      <c r="G213" s="5" t="inlineStr">
        <is>
          <t>TALCA</t>
        </is>
      </c>
      <c r="H213" s="5" t="inlineStr">
        <is>
          <t>77970090-9/TRANSPORTES DONA ISIDORA (LABBE)</t>
        </is>
      </c>
      <c r="I213" s="4" t="n">
        <v>1</v>
      </c>
      <c r="J213" s="5" t="inlineStr">
        <is>
          <t>TALCA</t>
        </is>
      </c>
      <c r="K213" s="4" t="n">
        <v>1451</v>
      </c>
    </row>
    <row r="214">
      <c r="A214" s="2">
        <f>"119332"</f>
        <v/>
      </c>
      <c r="B214" s="2" t="inlineStr">
        <is>
          <t>HKOOB37075699</t>
        </is>
      </c>
      <c r="C214" s="2" t="inlineStr">
        <is>
          <t>19/05/2026</t>
        </is>
      </c>
      <c r="D214" s="2" t="inlineStr">
        <is>
          <t>15:10:48</t>
        </is>
      </c>
      <c r="E214" s="2" t="inlineStr">
        <is>
          <t>mayo</t>
        </is>
      </c>
      <c r="F214" s="2" t="n">
        <v>2026</v>
      </c>
      <c r="G214" s="3" t="inlineStr">
        <is>
          <t>VINA DEL MAR</t>
        </is>
      </c>
      <c r="H214" s="3" t="inlineStr">
        <is>
          <t>16575553-7/GABRIEL ALEJANDRO ESTAY CARRAZANA</t>
        </is>
      </c>
      <c r="I214" s="2" t="n">
        <v>1</v>
      </c>
      <c r="J214" s="3" t="inlineStr">
        <is>
          <t>VINA DEL MAR</t>
        </is>
      </c>
      <c r="K214" s="2" t="n">
        <v>1544</v>
      </c>
    </row>
    <row r="215">
      <c r="A215" s="4">
        <f>"119333"</f>
        <v/>
      </c>
      <c r="B215" s="4" t="inlineStr">
        <is>
          <t>HKOOB37077213</t>
        </is>
      </c>
      <c r="C215" s="4" t="inlineStr">
        <is>
          <t>19/05/2026</t>
        </is>
      </c>
      <c r="D215" s="4" t="inlineStr">
        <is>
          <t>16:54:50</t>
        </is>
      </c>
      <c r="E215" s="4" t="inlineStr">
        <is>
          <t>mayo</t>
        </is>
      </c>
      <c r="F215" s="4" t="n">
        <v>2026</v>
      </c>
      <c r="G215" s="5" t="inlineStr">
        <is>
          <t>ANTOFAGASTA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ANTOFAGASTA</t>
        </is>
      </c>
      <c r="K215" s="4" t="n">
        <v>1782</v>
      </c>
    </row>
    <row r="216">
      <c r="A216" s="2">
        <f>"38913"</f>
        <v/>
      </c>
      <c r="B216" s="2" t="inlineStr">
        <is>
          <t>HKOOB37075689</t>
        </is>
      </c>
      <c r="C216" s="2" t="inlineStr">
        <is>
          <t>19/05/2026</t>
        </is>
      </c>
      <c r="D216" s="2" t="inlineStr">
        <is>
          <t>17:00:14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SIN PROVEEDOR</t>
        </is>
      </c>
      <c r="I216" s="2" t="n">
        <v>1</v>
      </c>
      <c r="J216" s="3" t="inlineStr">
        <is>
          <t>LO ESPEJO</t>
        </is>
      </c>
      <c r="K216" s="2" t="n">
        <v>1356</v>
      </c>
    </row>
    <row r="217">
      <c r="A217" s="4">
        <f>"38923"</f>
        <v/>
      </c>
      <c r="B217" s="4" t="inlineStr">
        <is>
          <t>HKOOB37075690</t>
        </is>
      </c>
      <c r="C217" s="4" t="inlineStr">
        <is>
          <t>19/05/2026</t>
        </is>
      </c>
      <c r="D217" s="4" t="inlineStr">
        <is>
          <t>18:16:36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1111</v>
      </c>
    </row>
    <row r="218">
      <c r="A218" s="2">
        <f>"119334"</f>
        <v/>
      </c>
      <c r="B218" s="2" t="inlineStr">
        <is>
          <t>HKOOB37075210</t>
        </is>
      </c>
      <c r="C218" s="2" t="inlineStr">
        <is>
          <t>19/05/2026</t>
        </is>
      </c>
      <c r="D218" s="2" t="inlineStr">
        <is>
          <t>18:25:20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2113</v>
      </c>
    </row>
    <row r="219">
      <c r="A219" s="4">
        <f>"119335"</f>
        <v/>
      </c>
      <c r="B219" s="4" t="inlineStr">
        <is>
          <t>HKOOB37075206</t>
        </is>
      </c>
      <c r="C219" s="4" t="inlineStr">
        <is>
          <t>19/05/2026</t>
        </is>
      </c>
      <c r="D219" s="4" t="inlineStr">
        <is>
          <t>19:06:46</t>
        </is>
      </c>
      <c r="E219" s="4" t="inlineStr">
        <is>
          <t>mayo</t>
        </is>
      </c>
      <c r="F219" s="4" t="n">
        <v>2026</v>
      </c>
      <c r="G219" s="5" t="inlineStr">
        <is>
          <t>LA SERENA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LA SERENA</t>
        </is>
      </c>
      <c r="K219" s="4" t="n">
        <v>1448</v>
      </c>
    </row>
    <row r="220">
      <c r="A220" s="2">
        <f>"38928"</f>
        <v/>
      </c>
      <c r="B220" s="2" t="inlineStr">
        <is>
          <t>HKOOB37075691</t>
        </is>
      </c>
      <c r="C220" s="2" t="inlineStr">
        <is>
          <t>19/05/2026</t>
        </is>
      </c>
      <c r="D220" s="2" t="inlineStr">
        <is>
          <t>19:15:44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1288</v>
      </c>
    </row>
    <row r="221">
      <c r="A221" s="4">
        <f>"38929"</f>
        <v/>
      </c>
      <c r="B221" s="4" t="inlineStr">
        <is>
          <t>HKOOB37075703</t>
        </is>
      </c>
      <c r="C221" s="4" t="inlineStr">
        <is>
          <t>19/05/2026</t>
        </is>
      </c>
      <c r="D221" s="4" t="inlineStr">
        <is>
          <t>19:50:16</t>
        </is>
      </c>
      <c r="E221" s="4" t="inlineStr">
        <is>
          <t>mayo</t>
        </is>
      </c>
      <c r="F221" s="4" t="n">
        <v>2026</v>
      </c>
      <c r="G221" s="5" t="inlineStr">
        <is>
          <t>EL PINAR</t>
        </is>
      </c>
      <c r="H221" s="5" t="inlineStr">
        <is>
          <t>SIN PROVEEDOR</t>
        </is>
      </c>
      <c r="I221" s="4" t="n">
        <v>1</v>
      </c>
      <c r="J221" s="5" t="inlineStr">
        <is>
          <t>EL PINAR</t>
        </is>
      </c>
      <c r="K221" s="4" t="n">
        <v>1164</v>
      </c>
    </row>
    <row r="222">
      <c r="A222" s="2">
        <f>"119336"</f>
        <v/>
      </c>
      <c r="B222" s="2" t="inlineStr">
        <is>
          <t>HKOOB37075214</t>
        </is>
      </c>
      <c r="C222" s="2" t="inlineStr">
        <is>
          <t>19/05/2026</t>
        </is>
      </c>
      <c r="D222" s="2" t="inlineStr">
        <is>
          <t>19:52:28</t>
        </is>
      </c>
      <c r="E222" s="2" t="inlineStr">
        <is>
          <t>mayo</t>
        </is>
      </c>
      <c r="F222" s="2" t="n">
        <v>2026</v>
      </c>
      <c r="G222" s="3" t="inlineStr">
        <is>
          <t>CHILLAN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CHILLAN</t>
        </is>
      </c>
      <c r="K222" s="2" t="n">
        <v>1738</v>
      </c>
    </row>
    <row r="223">
      <c r="A223" s="4">
        <f>"119337"</f>
        <v/>
      </c>
      <c r="B223" s="4" t="inlineStr">
        <is>
          <t>HKOOB37077851</t>
        </is>
      </c>
      <c r="C223" s="4" t="inlineStr">
        <is>
          <t>19/05/2026</t>
        </is>
      </c>
      <c r="D223" s="4" t="inlineStr">
        <is>
          <t>20:38:08</t>
        </is>
      </c>
      <c r="E223" s="4" t="inlineStr">
        <is>
          <t>mayo</t>
        </is>
      </c>
      <c r="F223" s="4" t="n">
        <v>2026</v>
      </c>
      <c r="G223" s="5" t="inlineStr">
        <is>
          <t>SAN FERNANDO</t>
        </is>
      </c>
      <c r="H223" s="5" t="inlineStr">
        <is>
          <t>76252773-1/GARATE Y GARATE LIMITADA</t>
        </is>
      </c>
      <c r="I223" s="4" t="n">
        <v>1</v>
      </c>
      <c r="J223" s="5" t="inlineStr">
        <is>
          <t>SAN FERNANDO</t>
        </is>
      </c>
      <c r="K223" s="4" t="n">
        <v>557</v>
      </c>
    </row>
    <row r="224">
      <c r="A224" s="2">
        <f>"119338"</f>
        <v/>
      </c>
      <c r="B224" s="2" t="inlineStr">
        <is>
          <t>HKOOB37075698</t>
        </is>
      </c>
      <c r="C224" s="2" t="inlineStr">
        <is>
          <t>19/05/2026</t>
        </is>
      </c>
      <c r="D224" s="2" t="inlineStr">
        <is>
          <t>21:39:15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1614</v>
      </c>
    </row>
    <row r="225">
      <c r="A225" s="4">
        <f>"119173"</f>
        <v/>
      </c>
      <c r="B225" s="4" t="inlineStr">
        <is>
          <t>CHKO373624 / HKOOB37011942</t>
        </is>
      </c>
      <c r="C225" s="4" t="inlineStr">
        <is>
          <t>11/05/2026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PTO MONTT / VALDIVIA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PTO MONTT / VALDIVIA</t>
        </is>
      </c>
      <c r="K225" s="4" t="n">
        <v>1664</v>
      </c>
    </row>
    <row r="226">
      <c r="A226" s="2">
        <f>"119195"</f>
        <v/>
      </c>
      <c r="B226" s="2" t="inlineStr">
        <is>
          <t>CHKO373384 / HKOOB37037365</t>
        </is>
      </c>
      <c r="C226" s="2" t="inlineStr">
        <is>
          <t>12/05/2026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ANTOFAGASTA / IQUIQUE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ANTOFAGASTA / IQUIQUE</t>
        </is>
      </c>
      <c r="K226" s="2" t="n">
        <v>1786</v>
      </c>
    </row>
    <row r="227">
      <c r="A227" s="4">
        <f>"119212"</f>
        <v/>
      </c>
      <c r="B227" s="4" t="inlineStr">
        <is>
          <t>CHKO373745 / HKOOB37043861</t>
        </is>
      </c>
      <c r="C227" s="4" t="inlineStr">
        <is>
          <t>13/05/2026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PTO MONTT / RUTA SOLITARIA ELPAC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 / RUTA SOLITARIA ELPAC</t>
        </is>
      </c>
      <c r="K227" s="4" t="n">
        <v>1739</v>
      </c>
    </row>
    <row r="228">
      <c r="A228" s="2">
        <f>"119239"</f>
        <v/>
      </c>
      <c r="B228" s="2" t="inlineStr">
        <is>
          <t>CHKO373825 / CHKO373844</t>
        </is>
      </c>
      <c r="C228" s="2" t="inlineStr">
        <is>
          <t>14/05/2026</t>
        </is>
      </c>
      <c r="D228" s="2" t="n">
        <v/>
      </c>
      <c r="E228" s="2" t="inlineStr">
        <is>
          <t>mayo</t>
        </is>
      </c>
      <c r="F228" s="2" t="n">
        <v>2026</v>
      </c>
      <c r="G228" s="3" t="inlineStr">
        <is>
          <t>PTO MONTT / VALDIVIA</t>
        </is>
      </c>
      <c r="H228" s="3" t="inlineStr">
        <is>
          <t>77636200-K/TRANSPORTES SAN GABRIEL LTDA.</t>
        </is>
      </c>
      <c r="I228" s="2" t="n">
        <v>1</v>
      </c>
      <c r="J228" s="3" t="inlineStr">
        <is>
          <t>PTO MONTT / VALDIVIA</t>
        </is>
      </c>
      <c r="K228" s="2" t="n">
        <v>1679</v>
      </c>
    </row>
    <row r="229">
      <c r="A229" s="4">
        <f>"119243"</f>
        <v/>
      </c>
      <c r="B229" s="4" t="inlineStr">
        <is>
          <t>CHKO373749 / CHKO373845</t>
        </is>
      </c>
      <c r="C229" s="4" t="inlineStr">
        <is>
          <t>14/05/2026</t>
        </is>
      </c>
      <c r="D229" s="4" t="n">
        <v/>
      </c>
      <c r="E229" s="4" t="inlineStr">
        <is>
          <t>mayo</t>
        </is>
      </c>
      <c r="F229" s="4" t="n">
        <v>2026</v>
      </c>
      <c r="G229" s="5" t="inlineStr">
        <is>
          <t>SAN FERNANDO / TALCA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SAN FERNANDO / TALCA</t>
        </is>
      </c>
      <c r="K229" s="4" t="n">
        <v>1627</v>
      </c>
    </row>
    <row r="230">
      <c r="A230" s="2">
        <f>"119255"</f>
        <v/>
      </c>
      <c r="B230" s="2" t="inlineStr">
        <is>
          <t>CHKO373695 / CHKO373826</t>
        </is>
      </c>
      <c r="C230" s="2" t="inlineStr">
        <is>
          <t>15/05/2026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LOS ANGELES / TEMUCO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LOS ANGELES / TEMUCO</t>
        </is>
      </c>
      <c r="K230" s="2" t="n">
        <v>1532</v>
      </c>
    </row>
    <row r="231">
      <c r="A231" s="4">
        <f>"119258"</f>
        <v/>
      </c>
      <c r="B231" s="4" t="inlineStr">
        <is>
          <t>CHKO373754 / CHKO373867 / CHKO373905</t>
        </is>
      </c>
      <c r="C231" s="4" t="inlineStr">
        <is>
          <t>15/05/2026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LA SERENA / RUTA SOLITARIA 1059 LV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LA SERENA / RUTA SOLITARIA 1059 LV</t>
        </is>
      </c>
      <c r="K231" s="4" t="n">
        <v>1708</v>
      </c>
    </row>
    <row r="232">
      <c r="A232" s="2">
        <f>"119261"</f>
        <v/>
      </c>
      <c r="B232" s="2" t="inlineStr">
        <is>
          <t>HKOOB37052768 / HKOOB37058514</t>
        </is>
      </c>
      <c r="C232" s="2" t="inlineStr">
        <is>
          <t>15/05/2026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COPIAPO / LA SERENA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COPIAPO / LA SERENA</t>
        </is>
      </c>
      <c r="K232" s="2" t="n">
        <v>1605</v>
      </c>
    </row>
    <row r="233">
      <c r="A233" s="4">
        <f>"119283"</f>
        <v/>
      </c>
      <c r="B233" s="4" t="inlineStr">
        <is>
          <t>CHKO373697 / CHKO373925</t>
        </is>
      </c>
      <c r="C233" s="4" t="inlineStr">
        <is>
          <t>16/05/2026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LOS ANGELES / 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LOS ANGELES / TEMUCO</t>
        </is>
      </c>
      <c r="K233" s="4" t="n">
        <v>1600</v>
      </c>
    </row>
    <row r="234">
      <c r="A234" s="2">
        <f>"119286"</f>
        <v/>
      </c>
      <c r="B234" s="2" t="inlineStr">
        <is>
          <t>HKOOB37063239 / HKOOB37066332</t>
        </is>
      </c>
      <c r="C234" s="2" t="inlineStr">
        <is>
          <t>16/05/2026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TALCA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TALCA</t>
        </is>
      </c>
      <c r="K234" s="2" t="n">
        <v>1544</v>
      </c>
    </row>
    <row r="235">
      <c r="A235" s="4">
        <f>"119288"</f>
        <v/>
      </c>
      <c r="B235" s="4" t="inlineStr">
        <is>
          <t>CHKO373986 / HKOOB37063246</t>
        </is>
      </c>
      <c r="C235" s="4" t="inlineStr">
        <is>
          <t>16/05/2026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LOS ANGELES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LOS ANGELES</t>
        </is>
      </c>
      <c r="K235" s="4" t="n">
        <v>1682</v>
      </c>
    </row>
    <row r="236">
      <c r="A236" s="2">
        <f>"119290"</f>
        <v/>
      </c>
      <c r="B236" s="2" t="inlineStr">
        <is>
          <t>CHKO373949 / HKOOB37037366</t>
        </is>
      </c>
      <c r="C236" s="2" t="inlineStr">
        <is>
          <t>16/05/2026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719</v>
      </c>
    </row>
    <row r="237">
      <c r="A237" s="4">
        <f>"119299"</f>
        <v/>
      </c>
      <c r="B237" s="4" t="inlineStr">
        <is>
          <t>CHKO373702 / CHKO373911 / CHKO374004</t>
        </is>
      </c>
      <c r="C237" s="4" t="inlineStr">
        <is>
          <t>17/05/2026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VALDIVIA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VALDIVIA</t>
        </is>
      </c>
      <c r="K237" s="4" t="n">
        <v>1953</v>
      </c>
    </row>
    <row r="238">
      <c r="A238" s="2">
        <f>"119301"</f>
        <v/>
      </c>
      <c r="B238" s="2" t="inlineStr">
        <is>
          <t>CHKO374005 / HKOOB37066348</t>
        </is>
      </c>
      <c r="C238" s="2" t="inlineStr">
        <is>
          <t>18/05/2026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ARICA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ARICA</t>
        </is>
      </c>
      <c r="K238" s="2" t="n">
        <v>1701</v>
      </c>
    </row>
    <row r="239">
      <c r="A239" s="4">
        <f>"119302"</f>
        <v/>
      </c>
      <c r="B239" s="4" t="inlineStr">
        <is>
          <t>HKOOB37066351 / HKOOB37066352</t>
        </is>
      </c>
      <c r="C239" s="4" t="inlineStr">
        <is>
          <t>17/05/2026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</t>
        </is>
      </c>
      <c r="H239" s="5" t="inlineStr">
        <is>
          <t>76746317-0/TRAILER LOGISTICS SPA</t>
        </is>
      </c>
      <c r="I239" s="4" t="n">
        <v>1</v>
      </c>
      <c r="J239" s="5" t="inlineStr">
        <is>
          <t>ANTOFAGASTA</t>
        </is>
      </c>
      <c r="K239" s="4" t="n">
        <v>2102</v>
      </c>
    </row>
    <row r="240">
      <c r="A240" s="2">
        <f>"119304"</f>
        <v/>
      </c>
      <c r="B240" s="2" t="inlineStr">
        <is>
          <t>HKOOB37066334 / HKOOB37066339</t>
        </is>
      </c>
      <c r="C240" s="2" t="inlineStr">
        <is>
          <t>18/05/2026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COPIAPO / LA SERENA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COPIAPO / LA SERENA</t>
        </is>
      </c>
      <c r="K240" s="2" t="n">
        <v>1619</v>
      </c>
    </row>
    <row r="241">
      <c r="A241" s="4">
        <f>"119308"</f>
        <v/>
      </c>
      <c r="B241" s="4" t="inlineStr">
        <is>
          <t>CHKO373703 / CHKO373952 / CHKO374066</t>
        </is>
      </c>
      <c r="C241" s="4" t="inlineStr">
        <is>
          <t>18/05/2026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LA SERENA / RUTA SOLITARIA 1059 LV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LA SERENA / RUTA SOLITARIA 1059 LV</t>
        </is>
      </c>
      <c r="K241" s="4" t="n">
        <v>1657</v>
      </c>
    </row>
    <row r="242">
      <c r="A242" s="2">
        <f>"119318"</f>
        <v/>
      </c>
      <c r="B242" s="2" t="inlineStr">
        <is>
          <t>CHKO373953 / HKOOB37075213</t>
        </is>
      </c>
      <c r="C242" s="2" t="inlineStr">
        <is>
          <t>18/05/2026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VALDIVIA</t>
        </is>
      </c>
      <c r="H242" s="3" t="inlineStr">
        <is>
          <t>77970090-9/TRANSPORTES DONA ISIDORA (LABBE)</t>
        </is>
      </c>
      <c r="I242" s="2" t="n">
        <v>1</v>
      </c>
      <c r="J242" s="3" t="inlineStr">
        <is>
          <t>PTO MONTT / VALDIVIA</t>
        </is>
      </c>
      <c r="K242" s="2" t="n">
        <v>1380</v>
      </c>
    </row>
    <row r="243">
      <c r="A243" s="4" t="inlineStr">
        <is>
          <t>LAS</t>
        </is>
      </c>
      <c r="B243" s="4" t="inlineStr">
        <is>
          <t>HKOOB37058740 / HKOOB37058741 / HKOOB37063774</t>
        </is>
      </c>
      <c r="C243" s="4" t="inlineStr">
        <is>
          <t>15/05/2026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EL PINAR / LO ESPEJO</t>
        </is>
      </c>
      <c r="H243" s="5" t="inlineStr">
        <is>
          <t>SIN PROVEEDOR</t>
        </is>
      </c>
      <c r="I243" s="4" t="n">
        <v>1</v>
      </c>
      <c r="J243" s="5" t="inlineStr">
        <is>
          <t>EL PINAR / LO ESPEJO</t>
        </is>
      </c>
      <c r="K243" s="4" t="n">
        <v>3493</v>
      </c>
    </row>
  </sheetData>
  <autoFilter ref="A1:K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2026-05-20T02:08:35Z</dcterms:created>
  <dcterms:modified xmlns:dcterms="http://purl.org/dc/terms/" xmlns:xsi="http://www.w3.org/2001/XMLSchema-instance" xsi:type="dcterms:W3CDTF">2026-05-20T02:08:35Z</dcterms:modified>
</cp:coreProperties>
</file>