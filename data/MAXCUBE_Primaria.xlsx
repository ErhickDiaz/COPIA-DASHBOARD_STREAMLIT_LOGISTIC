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"119313"</f>
        <v/>
      </c>
      <c r="B227" s="4" t="inlineStr">
        <is>
          <t>HKOOB37081606</t>
        </is>
      </c>
      <c r="C227" s="4" t="inlineStr">
        <is>
          <t>20/05/2026</t>
        </is>
      </c>
      <c r="D227" s="4" t="inlineStr">
        <is>
          <t>17:17:36</t>
        </is>
      </c>
      <c r="E227" s="4" t="inlineStr">
        <is>
          <t>mayo</t>
        </is>
      </c>
      <c r="F227" s="4" t="n">
        <v>2026</v>
      </c>
      <c r="G227" s="5" t="inlineStr">
        <is>
          <t>LA SERENA</t>
        </is>
      </c>
      <c r="H227" s="5" t="inlineStr">
        <is>
          <t>16575553-7/GABRIEL ALEJANDRO ESTAY CARRAZANA</t>
        </is>
      </c>
      <c r="I227" s="4" t="n">
        <v>1</v>
      </c>
      <c r="J227" s="5" t="inlineStr">
        <is>
          <t>LA SERENA</t>
        </is>
      </c>
      <c r="K227" s="4" t="n">
        <v>1879</v>
      </c>
    </row>
    <row r="228">
      <c r="A228" s="2">
        <f>"39055"</f>
        <v/>
      </c>
      <c r="B228" s="2" t="inlineStr">
        <is>
          <t>HKOOB37075692</t>
        </is>
      </c>
      <c r="C228" s="2" t="inlineStr">
        <is>
          <t>20/05/2026</t>
        </is>
      </c>
      <c r="D228" s="2" t="inlineStr">
        <is>
          <t>17:21:31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1440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>
        <f>"119283"</f>
        <v/>
      </c>
      <c r="B235" s="4" t="inlineStr">
        <is>
          <t>CHKO373697 / CHKO373925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 / TEMUCO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 / TEMUCO</t>
        </is>
      </c>
      <c r="K235" s="4" t="n">
        <v>1600</v>
      </c>
    </row>
    <row r="236">
      <c r="A236" s="2">
        <f>"119286"</f>
        <v/>
      </c>
      <c r="B236" s="2" t="inlineStr">
        <is>
          <t>HKOOB37063239 / HKOOB37066332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TALCA</t>
        </is>
      </c>
      <c r="K236" s="2" t="n">
        <v>1544</v>
      </c>
    </row>
    <row r="237">
      <c r="A237" s="4">
        <f>"119288"</f>
        <v/>
      </c>
      <c r="B237" s="4" t="inlineStr">
        <is>
          <t>CHKO373986 / HKOOB37063246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</t>
        </is>
      </c>
      <c r="K237" s="4" t="n">
        <v>1682</v>
      </c>
    </row>
    <row r="238">
      <c r="A238" s="2">
        <f>"119290"</f>
        <v/>
      </c>
      <c r="B238" s="2" t="inlineStr">
        <is>
          <t>CHKO373949 / HKOOB37037366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ANTOFAGASTA / IQUIQUE</t>
        </is>
      </c>
      <c r="K238" s="2" t="n">
        <v>719</v>
      </c>
    </row>
    <row r="239">
      <c r="A239" s="4">
        <f>"119299"</f>
        <v/>
      </c>
      <c r="B239" s="4" t="inlineStr">
        <is>
          <t>CHKO373702 / CHKO373911 / CHKO374004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1953</v>
      </c>
    </row>
    <row r="240">
      <c r="A240" s="2">
        <f>"119301"</f>
        <v/>
      </c>
      <c r="B240" s="2" t="inlineStr">
        <is>
          <t>CHKO374005 / HKOOB37066348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ARICA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ARICA</t>
        </is>
      </c>
      <c r="K240" s="2" t="n">
        <v>1701</v>
      </c>
    </row>
    <row r="241">
      <c r="A241" s="4">
        <f>"119302"</f>
        <v/>
      </c>
      <c r="B241" s="4" t="inlineStr">
        <is>
          <t>HKOOB37066351 / HKOOB37066352</t>
        </is>
      </c>
      <c r="C241" s="4" t="inlineStr">
        <is>
          <t>17/05/2026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</t>
        </is>
      </c>
      <c r="H241" s="5" t="inlineStr">
        <is>
          <t>76746317-0/TRAILER LOGISTICS SPA</t>
        </is>
      </c>
      <c r="I241" s="4" t="n">
        <v>1</v>
      </c>
      <c r="J241" s="5" t="inlineStr">
        <is>
          <t>ANTOFAGASTA</t>
        </is>
      </c>
      <c r="K241" s="4" t="n">
        <v>2102</v>
      </c>
    </row>
    <row r="242">
      <c r="A242" s="2">
        <f>"119304"</f>
        <v/>
      </c>
      <c r="B242" s="2" t="inlineStr">
        <is>
          <t>HKOOB37066334 / HKOOB37066339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COPIAPO / LA SERENA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COPIAPO / LA SERENA</t>
        </is>
      </c>
      <c r="K242" s="2" t="n">
        <v>1619</v>
      </c>
    </row>
    <row r="243">
      <c r="A243" s="4">
        <f>"119308"</f>
        <v/>
      </c>
      <c r="B243" s="4" t="inlineStr">
        <is>
          <t>CHKO373703 / CHKO373952 / CHKO374066</t>
        </is>
      </c>
      <c r="C243" s="4" t="inlineStr">
        <is>
          <t>18/05/2026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LA SERENA / RUTA SOLITARIA 1059 LV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LA SERENA / RUTA SOLITARIA 1059 LV</t>
        </is>
      </c>
      <c r="K243" s="4" t="n">
        <v>1657</v>
      </c>
    </row>
    <row r="244">
      <c r="A244" s="2">
        <f>"119318"</f>
        <v/>
      </c>
      <c r="B244" s="2" t="inlineStr">
        <is>
          <t>CHKO373953 / HKOOB37075213</t>
        </is>
      </c>
      <c r="C244" s="2" t="inlineStr">
        <is>
          <t>18/05/2026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1380</v>
      </c>
    </row>
    <row r="245">
      <c r="A245" s="4">
        <f>"119341"</f>
        <v/>
      </c>
      <c r="B245" s="4" t="inlineStr">
        <is>
          <t>HKOOB37081614 / HKOOB37081617</t>
        </is>
      </c>
      <c r="C245" s="4" t="inlineStr">
        <is>
          <t>20/05/2026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1621</v>
      </c>
    </row>
    <row r="246">
      <c r="A246" s="2" t="inlineStr">
        <is>
          <t>LAS</t>
        </is>
      </c>
      <c r="B246" s="2" t="inlineStr">
        <is>
          <t>HKOOB37058740 / HKOOB37058741 / HKOOB37063774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EL PINAR / LO ESPEJO</t>
        </is>
      </c>
      <c r="H246" s="3" t="inlineStr">
        <is>
          <t>SIN PROVEEDOR</t>
        </is>
      </c>
      <c r="I246" s="2" t="n">
        <v>1</v>
      </c>
      <c r="J246" s="3" t="inlineStr">
        <is>
          <t>EL PINAR / LO ESPEJO</t>
        </is>
      </c>
      <c r="K246" s="2" t="n">
        <v>3493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2026-05-20T21:37:13Z</dcterms:created>
  <dcterms:modified xmlns:dcterms="http://purl.org/dc/terms/" xmlns:xsi="http://www.w3.org/2001/XMLSchema-instance" xsi:type="dcterms:W3CDTF">2026-05-20T21:37:13Z</dcterms:modified>
</cp:coreProperties>
</file>