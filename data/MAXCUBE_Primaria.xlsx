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"119142"</f>
        <v/>
      </c>
      <c r="B239" s="4" t="inlineStr">
        <is>
          <t>CHKO373309 / CHKO373325 / HKOOB36985272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ARICA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ANTOFAGASTA / ARICA</t>
        </is>
      </c>
      <c r="K239" s="4" t="n">
        <v>1716</v>
      </c>
    </row>
    <row r="240">
      <c r="A240" s="2">
        <f>"119173"</f>
        <v/>
      </c>
      <c r="B240" s="2" t="inlineStr">
        <is>
          <t>CHKO373624 / HKOOB37011942</t>
        </is>
      </c>
      <c r="C240" s="2" t="inlineStr">
        <is>
          <t>11/05/2026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1664</v>
      </c>
    </row>
    <row r="241">
      <c r="A241" s="4">
        <f>"119195"</f>
        <v/>
      </c>
      <c r="B241" s="4" t="inlineStr">
        <is>
          <t>CHKO373384 / HKOOB37037365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1786</v>
      </c>
    </row>
    <row r="242">
      <c r="A242" s="2">
        <f>"119212"</f>
        <v/>
      </c>
      <c r="B242" s="2" t="inlineStr">
        <is>
          <t>CHKO373745 / HKOOB37043861</t>
        </is>
      </c>
      <c r="C242" s="2" t="inlineStr">
        <is>
          <t>13/05/2026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1739</v>
      </c>
    </row>
    <row r="243">
      <c r="A243" s="4">
        <f>"119239"</f>
        <v/>
      </c>
      <c r="B243" s="4" t="inlineStr">
        <is>
          <t>CHKO373825 / CHKO373844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1679</v>
      </c>
    </row>
    <row r="244">
      <c r="A244" s="2">
        <f>"119243"</f>
        <v/>
      </c>
      <c r="B244" s="2" t="inlineStr">
        <is>
          <t>CHKO373749 / CHKO373845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SAN FERNANDO / TALCA</t>
        </is>
      </c>
      <c r="H244" s="3" t="inlineStr">
        <is>
          <t>76252773-1/GARATE Y GARATE LIMITADA</t>
        </is>
      </c>
      <c r="I244" s="2" t="n">
        <v>1</v>
      </c>
      <c r="J244" s="3" t="inlineStr">
        <is>
          <t>SAN FERNANDO / TALCA</t>
        </is>
      </c>
      <c r="K244" s="2" t="n">
        <v>1627</v>
      </c>
    </row>
    <row r="245">
      <c r="A245" s="4">
        <f>"119255"</f>
        <v/>
      </c>
      <c r="B245" s="4" t="inlineStr">
        <is>
          <t>CHKO373695 / CHKO373826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 / TEMUCO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 / TEMUCO</t>
        </is>
      </c>
      <c r="K245" s="4" t="n">
        <v>1532</v>
      </c>
    </row>
    <row r="246">
      <c r="A246" s="2">
        <f>"119258"</f>
        <v/>
      </c>
      <c r="B246" s="2" t="inlineStr">
        <is>
          <t>CHKO373754 / CHKO373867 / CHKO373905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1708</v>
      </c>
    </row>
    <row r="247">
      <c r="A247" s="4" t="inlineStr">
        <is>
          <t>LAS</t>
        </is>
      </c>
      <c r="B247" s="4" t="inlineStr">
        <is>
          <t>HKOOB36985602 / HKOOB36985610 / HKOOB36991771 / HKOOB36991772 / HKOOB36997597 / HKOOB36997604 / HKOOB37004439 / HKOOB37004444 / HKOOB37004446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LO ESPEJO / VINA DEL MAR</t>
        </is>
      </c>
      <c r="K247" s="4" t="n">
        <v>11269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2026-05-15T18:48:08Z</dcterms:created>
  <dcterms:modified xmlns:dcterms="http://purl.org/dc/terms/" xmlns:xsi="http://www.w3.org/2001/XMLSchema-instance" xsi:type="dcterms:W3CDTF">2026-05-15T18:48:08Z</dcterms:modified>
</cp:coreProperties>
</file>