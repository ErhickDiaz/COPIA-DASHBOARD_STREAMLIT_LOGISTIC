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"38504"</f>
        <v/>
      </c>
      <c r="B237" s="4" t="inlineStr">
        <is>
          <t>HKOOB37058753</t>
        </is>
      </c>
      <c r="C237" s="4" t="inlineStr">
        <is>
          <t>15/05/2026</t>
        </is>
      </c>
      <c r="D237" s="4" t="inlineStr">
        <is>
          <t>18:17:33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SIN PROVEEDOR</t>
        </is>
      </c>
      <c r="I237" s="4" t="n">
        <v>1</v>
      </c>
      <c r="J237" s="5" t="inlineStr">
        <is>
          <t>EL PINAR</t>
        </is>
      </c>
      <c r="K237" s="4" t="n">
        <v>1076</v>
      </c>
    </row>
    <row r="238">
      <c r="A238" s="2">
        <f>"119087"</f>
        <v/>
      </c>
      <c r="B238" s="2" t="inlineStr">
        <is>
          <t>CHKO372924 / HKOOB36982949</t>
        </is>
      </c>
      <c r="C238" s="2" t="inlineStr">
        <is>
          <t>06/05/2026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1868</v>
      </c>
    </row>
    <row r="239">
      <c r="A239" s="4">
        <f>"119112"</f>
        <v/>
      </c>
      <c r="B239" s="4" t="inlineStr">
        <is>
          <t>HKOOB36994400 / HKOOB36994408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1247</v>
      </c>
    </row>
    <row r="240">
      <c r="A240" s="2">
        <f>"119113"</f>
        <v/>
      </c>
      <c r="B240" s="2" t="inlineStr">
        <is>
          <t>CHKO373144 / HKOOB36991739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CHILLAN / 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CHILLAN / TALCA</t>
        </is>
      </c>
      <c r="K240" s="2" t="n">
        <v>1626</v>
      </c>
    </row>
    <row r="241">
      <c r="A241" s="4">
        <f>"119118"</f>
        <v/>
      </c>
      <c r="B241" s="4" t="inlineStr">
        <is>
          <t>CHKO373029 / CHKO373166 / HKOOB36991777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1570</v>
      </c>
    </row>
    <row r="242">
      <c r="A242" s="2">
        <f>"119142"</f>
        <v/>
      </c>
      <c r="B242" s="2" t="inlineStr">
        <is>
          <t>CHKO373309 / CHKO373325 / HKOOB36985272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1716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>
        <f>"119239"</f>
        <v/>
      </c>
      <c r="B246" s="2" t="inlineStr">
        <is>
          <t>CHKO373825 / CHKO373844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1679</v>
      </c>
    </row>
    <row r="247">
      <c r="A247" s="4">
        <f>"119243"</f>
        <v/>
      </c>
      <c r="B247" s="4" t="inlineStr">
        <is>
          <t>CHKO373749 / CHKO373845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SAN FERNANDO / TALCA</t>
        </is>
      </c>
      <c r="H247" s="5" t="inlineStr">
        <is>
          <t>76252773-1/GARATE Y GARATE LIMITADA</t>
        </is>
      </c>
      <c r="I247" s="4" t="n">
        <v>1</v>
      </c>
      <c r="J247" s="5" t="inlineStr">
        <is>
          <t>SAN FERNANDO / TALCA</t>
        </is>
      </c>
      <c r="K247" s="4" t="n">
        <v>1627</v>
      </c>
    </row>
    <row r="248">
      <c r="A248" s="2">
        <f>"119255"</f>
        <v/>
      </c>
      <c r="B248" s="2" t="inlineStr">
        <is>
          <t>CHKO373695 / CHKO373826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LOS ANGELES / TEMUCO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LOS ANGELES / TEMUCO</t>
        </is>
      </c>
      <c r="K248" s="2" t="n">
        <v>1532</v>
      </c>
    </row>
    <row r="249">
      <c r="A249" s="4">
        <f>"119258"</f>
        <v/>
      </c>
      <c r="B249" s="4" t="inlineStr">
        <is>
          <t>CHKO373754 / CHKO373867 / CHKO373905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LA SERENA / RUTA SOLITARIA 1059 LV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LA SERENA / RUTA SOLITARIA 1059 LV</t>
        </is>
      </c>
      <c r="K249" s="4" t="n">
        <v>1708</v>
      </c>
    </row>
    <row r="250">
      <c r="A250" s="2">
        <f>"119261"</f>
        <v/>
      </c>
      <c r="B250" s="2" t="inlineStr">
        <is>
          <t>HKOOB37052768 / HKOOB37058514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COPIAPO / LA SERENA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COPIAPO / LA SERENA</t>
        </is>
      </c>
      <c r="K250" s="2" t="n">
        <v>1605</v>
      </c>
    </row>
    <row r="251">
      <c r="A251" s="4" t="inlineStr">
        <is>
          <t>LAS</t>
        </is>
      </c>
      <c r="B251" s="4" t="inlineStr">
        <is>
          <t>HKOOB36985602 / HKOOB36985610 / HKOOB36991771 / HKOOB36991772 / HKOOB36997597 / HKOOB36997604 / HKOOB37004439 / HKOOB37004444 / HKOOB37004446 / HKOOB37058740 / HKOOB37058741</t>
        </is>
      </c>
      <c r="C251" s="4" t="inlineStr">
        <is>
          <t>12/05/2026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 ESPEJO / VINA DEL MAR</t>
        </is>
      </c>
      <c r="H251" s="5" t="inlineStr">
        <is>
          <t>SIN PROVEEDOR</t>
        </is>
      </c>
      <c r="I251" s="4" t="n">
        <v>1</v>
      </c>
      <c r="J251" s="5" t="inlineStr">
        <is>
          <t>LO ESPEJO / VINA DEL MAR</t>
        </is>
      </c>
      <c r="K251" s="4" t="n">
        <v>13769</v>
      </c>
    </row>
  </sheetData>
  <autoFilter ref="A1:K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2026-05-15T22:48:31Z</dcterms:created>
  <dcterms:modified xmlns:dcterms="http://purl.org/dc/terms/" xmlns:xsi="http://www.w3.org/2001/XMLSchema-instance" xsi:type="dcterms:W3CDTF">2026-05-15T22:48:31Z</dcterms:modified>
</cp:coreProperties>
</file>