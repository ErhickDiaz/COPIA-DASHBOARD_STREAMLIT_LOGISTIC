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"119069"</f>
        <v/>
      </c>
      <c r="B234" s="2" t="inlineStr">
        <is>
          <t>CHKO372804 / CHKO372827</t>
        </is>
      </c>
      <c r="C234" s="2" t="inlineStr">
        <is>
          <t>05/05/2026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1543</v>
      </c>
    </row>
    <row r="235">
      <c r="A235" s="4">
        <f>"119087"</f>
        <v/>
      </c>
      <c r="B235" s="4" t="inlineStr">
        <is>
          <t>CHKO372924 / HKOOB36982949</t>
        </is>
      </c>
      <c r="C235" s="4" t="inlineStr">
        <is>
          <t>06/05/2026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RUTA SOLITARIA ELPAC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RUTA SOLITARIA ELPAC</t>
        </is>
      </c>
      <c r="K235" s="4" t="n">
        <v>1868</v>
      </c>
    </row>
    <row r="236">
      <c r="A236" s="2">
        <f>"119112"</f>
        <v/>
      </c>
      <c r="B236" s="2" t="inlineStr">
        <is>
          <t>HKOOB36994400 / HKOOB36994408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77970090-9/TRANSPORTES DONA ISIDORA (LABBE)</t>
        </is>
      </c>
      <c r="I236" s="2" t="n">
        <v>1</v>
      </c>
      <c r="J236" s="3" t="inlineStr">
        <is>
          <t>PTO MONTT / VALDIVIA</t>
        </is>
      </c>
      <c r="K236" s="2" t="n">
        <v>1247</v>
      </c>
    </row>
    <row r="237">
      <c r="A237" s="4">
        <f>"119113"</f>
        <v/>
      </c>
      <c r="B237" s="4" t="inlineStr">
        <is>
          <t>CHKO373144 / HKOOB36991739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CHILLAN / TALCA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CHILLAN / TALCA</t>
        </is>
      </c>
      <c r="K237" s="4" t="n">
        <v>1626</v>
      </c>
    </row>
    <row r="238">
      <c r="A238" s="2">
        <f>"119118"</f>
        <v/>
      </c>
      <c r="B238" s="2" t="inlineStr">
        <is>
          <t>CHKO373029 / CHKO373166 / HKOOB36991777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LA SERENA / RUTA SOLITARIA 1059 LV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LA SERENA / RUTA SOLITARIA 1059 LV</t>
        </is>
      </c>
      <c r="K238" s="2" t="n">
        <v>1570</v>
      </c>
    </row>
    <row r="239">
      <c r="A239" s="4">
        <f>"119133"</f>
        <v/>
      </c>
      <c r="B239" s="4" t="inlineStr">
        <is>
          <t>CHKO373305 / HKOOB36974928</t>
        </is>
      </c>
      <c r="C239" s="4" t="inlineStr">
        <is>
          <t>08/05/2026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LOS ANGELES / TEMUCO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 / TEMUCO</t>
        </is>
      </c>
      <c r="K239" s="4" t="n">
        <v>1569</v>
      </c>
    </row>
    <row r="240">
      <c r="A240" s="2">
        <f>"119142"</f>
        <v/>
      </c>
      <c r="B240" s="2" t="inlineStr">
        <is>
          <t>CHKO373309 / CHKO373325 / HKOOB36985272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1716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 t="inlineStr">
        <is>
          <t>LAS</t>
        </is>
      </c>
      <c r="B244" s="2" t="inlineStr">
        <is>
          <t>HKOOB36985602 / HKOOB36985610 / HKOOB36991771 / HKOOB36991772 / HKOOB36997597 / HKOOB36997604 / HKOOB37004439 / HKOOB37004444 / HKOOB37004446</t>
        </is>
      </c>
      <c r="C244" s="2" t="inlineStr">
        <is>
          <t>12/05/2026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 ESPEJO / VINA DEL MAR</t>
        </is>
      </c>
      <c r="H244" s="3" t="inlineStr">
        <is>
          <t>SIN PROVEEDOR</t>
        </is>
      </c>
      <c r="I244" s="2" t="n">
        <v>1</v>
      </c>
      <c r="J244" s="3" t="inlineStr">
        <is>
          <t>LO ESPEJO / VINA DEL MAR</t>
        </is>
      </c>
      <c r="K244" s="2" t="n">
        <v>11269</v>
      </c>
    </row>
  </sheetData>
  <autoFilter ref="A1:K2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2026-05-14T11:51:47Z</dcterms:created>
  <dcterms:modified xmlns:dcterms="http://purl.org/dc/terms/" xmlns:xsi="http://www.w3.org/2001/XMLSchema-instance" xsi:type="dcterms:W3CDTF">2026-05-14T11:51:47Z</dcterms:modified>
</cp:coreProperties>
</file>