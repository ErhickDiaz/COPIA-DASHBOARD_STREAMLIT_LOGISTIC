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"119112"</f>
        <v/>
      </c>
      <c r="B223" s="4" t="inlineStr">
        <is>
          <t>HKOOB36994400 / HKOOB36994408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PTO MONTT / VALDIVIA</t>
        </is>
      </c>
      <c r="K223" s="4" t="n">
        <v>1247</v>
      </c>
    </row>
    <row r="224">
      <c r="A224" s="2">
        <f>"119113"</f>
        <v/>
      </c>
      <c r="B224" s="2" t="inlineStr">
        <is>
          <t>CHKO373144 / HKOOB36991739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CHILLAN / 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CHILLAN / TALCA</t>
        </is>
      </c>
      <c r="K224" s="2" t="n">
        <v>1626</v>
      </c>
    </row>
    <row r="225">
      <c r="A225" s="4">
        <f>"119118"</f>
        <v/>
      </c>
      <c r="B225" s="4" t="inlineStr">
        <is>
          <t>CHKO373029 / CHKO373166 / HKOOB36991777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1570</v>
      </c>
    </row>
    <row r="226">
      <c r="A226" s="2">
        <f>"119142"</f>
        <v/>
      </c>
      <c r="B226" s="2" t="inlineStr">
        <is>
          <t>CHKO373309 / CHKO373325</t>
        </is>
      </c>
      <c r="C226" s="2" t="inlineStr">
        <is>
          <t>08/05/2026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ARICA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ANTOFAGASTA / ARICA</t>
        </is>
      </c>
      <c r="K226" s="2" t="n">
        <v>1380</v>
      </c>
    </row>
    <row r="227">
      <c r="A227" s="4">
        <f>"119173"</f>
        <v/>
      </c>
      <c r="B227" s="4" t="inlineStr">
        <is>
          <t>CHKO373624 / HKOOB37011942</t>
        </is>
      </c>
      <c r="C227" s="4" t="inlineStr">
        <is>
          <t>11/05/2026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1664</v>
      </c>
    </row>
    <row r="228">
      <c r="A228" s="2">
        <f>"119195"</f>
        <v/>
      </c>
      <c r="B228" s="2" t="inlineStr">
        <is>
          <t>CHKO373384 / HKOOB37037365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1786</v>
      </c>
    </row>
    <row r="229">
      <c r="A229" s="4">
        <f>"119212"</f>
        <v/>
      </c>
      <c r="B229" s="4" t="inlineStr">
        <is>
          <t>CHKO373745 / HKOOB37043861</t>
        </is>
      </c>
      <c r="C229" s="4" t="inlineStr">
        <is>
          <t>13/05/2026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RUTA SOLITARIA ELPAC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RUTA SOLITARIA ELPAC</t>
        </is>
      </c>
      <c r="K229" s="4" t="n">
        <v>1739</v>
      </c>
    </row>
    <row r="230">
      <c r="A230" s="2">
        <f>"119239"</f>
        <v/>
      </c>
      <c r="B230" s="2" t="inlineStr">
        <is>
          <t>CHKO373825 / CHKO373844</t>
        </is>
      </c>
      <c r="C230" s="2" t="inlineStr">
        <is>
          <t>14/05/2026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1679</v>
      </c>
    </row>
    <row r="231">
      <c r="A231" s="4">
        <f>"119243"</f>
        <v/>
      </c>
      <c r="B231" s="4" t="inlineStr">
        <is>
          <t>CHKO373749 / CHKO373845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SAN FERNANDO / TALCA</t>
        </is>
      </c>
      <c r="H231" s="5" t="inlineStr">
        <is>
          <t>76252773-1/GARATE Y GARATE LIMITADA</t>
        </is>
      </c>
      <c r="I231" s="4" t="n">
        <v>1</v>
      </c>
      <c r="J231" s="5" t="inlineStr">
        <is>
          <t>SAN FERNANDO / TALCA</t>
        </is>
      </c>
      <c r="K231" s="4" t="n">
        <v>1627</v>
      </c>
    </row>
    <row r="232">
      <c r="A232" s="2">
        <f>"119255"</f>
        <v/>
      </c>
      <c r="B232" s="2" t="inlineStr">
        <is>
          <t>CHKO373695 / CHKO373826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1532</v>
      </c>
    </row>
    <row r="233">
      <c r="A233" s="4">
        <f>"119258"</f>
        <v/>
      </c>
      <c r="B233" s="4" t="inlineStr">
        <is>
          <t>CHKO373754 / CHKO373867 / CHKO373905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1708</v>
      </c>
    </row>
    <row r="234">
      <c r="A234" s="2">
        <f>"119261"</f>
        <v/>
      </c>
      <c r="B234" s="2" t="inlineStr">
        <is>
          <t>HKOOB37052768 / HKOOB37058514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COPIAPO / LA SERENA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COPIAPO / LA SERENA</t>
        </is>
      </c>
      <c r="K234" s="2" t="n">
        <v>1605</v>
      </c>
    </row>
    <row r="235">
      <c r="A235" s="4" t="inlineStr">
        <is>
          <t>LAS</t>
        </is>
      </c>
      <c r="B235" s="4" t="inlineStr">
        <is>
          <t>HKOOB36991771 / HKOOB36991772 / HKOOB36997597 / HKOOB36997604 / HKOOB37004439 / HKOOB37004444 / HKOOB37004446 / HKOOB37058740 / HKOOB37058741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 ESPEJO / VINA DEL MAR</t>
        </is>
      </c>
      <c r="H235" s="5" t="inlineStr">
        <is>
          <t>SIN PROVEEDOR</t>
        </is>
      </c>
      <c r="I235" s="4" t="n">
        <v>1</v>
      </c>
      <c r="J235" s="5" t="inlineStr">
        <is>
          <t>LO ESPEJO / VINA DEL MAR</t>
        </is>
      </c>
      <c r="K235" s="4" t="n">
        <v>11352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2026-05-16T11:30:49Z</dcterms:created>
  <dcterms:modified xmlns:dcterms="http://purl.org/dc/terms/" xmlns:xsi="http://www.w3.org/2001/XMLSchema-instance" xsi:type="dcterms:W3CDTF">2026-05-16T11:30:49Z</dcterms:modified>
</cp:coreProperties>
</file>