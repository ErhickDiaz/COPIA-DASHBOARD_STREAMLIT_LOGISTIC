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"119199"</f>
        <v/>
      </c>
      <c r="B197" s="4" t="inlineStr">
        <is>
          <t>HKOOB37035184</t>
        </is>
      </c>
      <c r="C197" s="4" t="inlineStr">
        <is>
          <t>12/05/2026</t>
        </is>
      </c>
      <c r="D197" s="4" t="inlineStr">
        <is>
          <t>12:24:04</t>
        </is>
      </c>
      <c r="E197" s="4" t="inlineStr">
        <is>
          <t>mayo</t>
        </is>
      </c>
      <c r="F197" s="4" t="n">
        <v>2026</v>
      </c>
      <c r="G197" s="5" t="inlineStr">
        <is>
          <t>LOS ANGELES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LOS ANGELES</t>
        </is>
      </c>
      <c r="K197" s="4" t="n">
        <v>1712</v>
      </c>
    </row>
    <row r="198">
      <c r="A198" s="2">
        <f>"38047"</f>
        <v/>
      </c>
      <c r="B198" s="2" t="inlineStr">
        <is>
          <t>CHKO373724</t>
        </is>
      </c>
      <c r="C198" s="2" t="inlineStr">
        <is>
          <t>12/05/2026</t>
        </is>
      </c>
      <c r="D198" s="2" t="inlineStr">
        <is>
          <t>12:25:07</t>
        </is>
      </c>
      <c r="E198" s="2" t="inlineStr">
        <is>
          <t>mayo</t>
        </is>
      </c>
      <c r="F198" s="2" t="n">
        <v>2026</v>
      </c>
      <c r="G198" s="3" t="inlineStr">
        <is>
          <t>RUTA SOLITARIA 1059 LV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RUTA SOLITARIA 1059 LV</t>
        </is>
      </c>
      <c r="K198" s="2" t="n">
        <v>631</v>
      </c>
    </row>
    <row r="199">
      <c r="A199" s="4">
        <f>"38046"</f>
        <v/>
      </c>
      <c r="B199" s="4" t="inlineStr">
        <is>
          <t>CHKO373668</t>
        </is>
      </c>
      <c r="C199" s="4" t="inlineStr">
        <is>
          <t>12/05/2026</t>
        </is>
      </c>
      <c r="D199" s="4" t="inlineStr">
        <is>
          <t>12:29:54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LA SERENA</t>
        </is>
      </c>
      <c r="K199" s="4" t="n">
        <v>360</v>
      </c>
    </row>
    <row r="200">
      <c r="A200" s="2">
        <f>"38043"</f>
        <v/>
      </c>
      <c r="B200" s="2" t="inlineStr">
        <is>
          <t>HKOOB37036933</t>
        </is>
      </c>
      <c r="C200" s="2" t="inlineStr">
        <is>
          <t>12/05/2026</t>
        </is>
      </c>
      <c r="D200" s="2" t="inlineStr">
        <is>
          <t>12:32:05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0</v>
      </c>
    </row>
    <row r="201">
      <c r="A201" s="4">
        <f>"38050"</f>
        <v/>
      </c>
      <c r="B201" s="4" t="inlineStr">
        <is>
          <t>HKOOB37035188</t>
        </is>
      </c>
      <c r="C201" s="4" t="inlineStr">
        <is>
          <t>12/05/2026</t>
        </is>
      </c>
      <c r="D201" s="4" t="inlineStr">
        <is>
          <t>13:21:37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1556</v>
      </c>
    </row>
    <row r="202">
      <c r="A202" s="2">
        <f>"38054"</f>
        <v/>
      </c>
      <c r="B202" s="2" t="inlineStr">
        <is>
          <t>HKOOB37037369</t>
        </is>
      </c>
      <c r="C202" s="2" t="inlineStr">
        <is>
          <t>12/05/2026</t>
        </is>
      </c>
      <c r="D202" s="2" t="inlineStr">
        <is>
          <t>14:08:55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76746317-0/TRAILER LOGISTICS SPA</t>
        </is>
      </c>
      <c r="I202" s="2" t="n">
        <v>1</v>
      </c>
      <c r="J202" s="3" t="inlineStr">
        <is>
          <t>ANTOFAGASTA</t>
        </is>
      </c>
      <c r="K202" s="2" t="n">
        <v>2016</v>
      </c>
    </row>
    <row r="203">
      <c r="A203" s="4">
        <f>"38058"</f>
        <v/>
      </c>
      <c r="B203" s="4" t="inlineStr">
        <is>
          <t>HKOOB37036934</t>
        </is>
      </c>
      <c r="C203" s="4" t="inlineStr">
        <is>
          <t>12/05/2026</t>
        </is>
      </c>
      <c r="D203" s="4" t="inlineStr">
        <is>
          <t>15:39:40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1422</v>
      </c>
    </row>
    <row r="204">
      <c r="A204" s="2">
        <f>"38061"</f>
        <v/>
      </c>
      <c r="B204" s="2" t="inlineStr">
        <is>
          <t>HKOOB37036928</t>
        </is>
      </c>
      <c r="C204" s="2" t="inlineStr">
        <is>
          <t>12/05/2026</t>
        </is>
      </c>
      <c r="D204" s="2" t="inlineStr">
        <is>
          <t>15:52:05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SIN PROVEEDOR</t>
        </is>
      </c>
      <c r="I204" s="2" t="n">
        <v>1</v>
      </c>
      <c r="J204" s="3" t="inlineStr">
        <is>
          <t>EL PINAR</t>
        </is>
      </c>
      <c r="K204" s="2" t="n">
        <v>1082</v>
      </c>
    </row>
    <row r="205">
      <c r="A205" s="4">
        <f>"119200"</f>
        <v/>
      </c>
      <c r="B205" s="4" t="inlineStr">
        <is>
          <t>HKOOB37035185</t>
        </is>
      </c>
      <c r="C205" s="4" t="inlineStr">
        <is>
          <t>12/05/2026</t>
        </is>
      </c>
      <c r="D205" s="4" t="inlineStr">
        <is>
          <t>16:30:26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1647</v>
      </c>
    </row>
    <row r="206">
      <c r="A206" s="2">
        <f>"119201"</f>
        <v/>
      </c>
      <c r="B206" s="2" t="inlineStr">
        <is>
          <t>HKOOB37035195</t>
        </is>
      </c>
      <c r="C206" s="2" t="inlineStr">
        <is>
          <t>12/05/2026</t>
        </is>
      </c>
      <c r="D206" s="2" t="inlineStr">
        <is>
          <t>17:03:11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77970090-9/TRANSPORTES DONA ISIDORA (LABBE)</t>
        </is>
      </c>
      <c r="I206" s="2" t="n">
        <v>1</v>
      </c>
      <c r="J206" s="3" t="inlineStr">
        <is>
          <t>TEMUCO</t>
        </is>
      </c>
      <c r="K206" s="2" t="n">
        <v>1813</v>
      </c>
    </row>
    <row r="207">
      <c r="A207" s="4">
        <f>"38065"</f>
        <v/>
      </c>
      <c r="B207" s="4" t="inlineStr">
        <is>
          <t>HKOOB37036932</t>
        </is>
      </c>
      <c r="C207" s="4" t="inlineStr">
        <is>
          <t>12/05/2026</t>
        </is>
      </c>
      <c r="D207" s="4" t="inlineStr">
        <is>
          <t>17:26:38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1380</v>
      </c>
    </row>
    <row r="208">
      <c r="A208" s="2">
        <f>"119202"</f>
        <v/>
      </c>
      <c r="B208" s="2" t="inlineStr">
        <is>
          <t>HKOOB37035183</t>
        </is>
      </c>
      <c r="C208" s="2" t="inlineStr">
        <is>
          <t>12/05/2026</t>
        </is>
      </c>
      <c r="D208" s="2" t="inlineStr">
        <is>
          <t>20:00:28</t>
        </is>
      </c>
      <c r="E208" s="2" t="inlineStr">
        <is>
          <t>mayo</t>
        </is>
      </c>
      <c r="F208" s="2" t="n">
        <v>2026</v>
      </c>
      <c r="G208" s="3" t="inlineStr">
        <is>
          <t>SAN FERNANDO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SAN FERNANDO</t>
        </is>
      </c>
      <c r="K208" s="2" t="n">
        <v>520</v>
      </c>
    </row>
    <row r="209">
      <c r="A209" s="4">
        <f>"119203"</f>
        <v/>
      </c>
      <c r="B209" s="4" t="inlineStr">
        <is>
          <t>HKOOB37046791</t>
        </is>
      </c>
      <c r="C209" s="4" t="inlineStr">
        <is>
          <t>12/05/2026</t>
        </is>
      </c>
      <c r="D209" s="4" t="inlineStr">
        <is>
          <t>20:19:26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1762</v>
      </c>
    </row>
    <row r="210">
      <c r="A210" s="2">
        <f>"119204"</f>
        <v/>
      </c>
      <c r="B210" s="2" t="inlineStr">
        <is>
          <t>HKOOB37035193</t>
        </is>
      </c>
      <c r="C210" s="2" t="inlineStr">
        <is>
          <t>12/05/2026</t>
        </is>
      </c>
      <c r="D210" s="2" t="inlineStr">
        <is>
          <t>21:24:22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1637</v>
      </c>
    </row>
    <row r="211">
      <c r="A211" s="4">
        <f>"119063"</f>
        <v/>
      </c>
      <c r="B211" s="4" t="inlineStr">
        <is>
          <t>CHKO372624 / CHKO372646</t>
        </is>
      </c>
      <c r="C211" s="4" t="inlineStr">
        <is>
          <t>05/05/2026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CONCEPCION / LOS ANGELES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 / LOS ANGELES</t>
        </is>
      </c>
      <c r="K211" s="4" t="n">
        <v>1625</v>
      </c>
    </row>
    <row r="212">
      <c r="A212" s="2">
        <f>"119069"</f>
        <v/>
      </c>
      <c r="B212" s="2" t="inlineStr">
        <is>
          <t>CHKO372804 / CHKO372827</t>
        </is>
      </c>
      <c r="C212" s="2" t="inlineStr">
        <is>
          <t>05/05/2026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LA SERENA / RUTA SOLITARIA 1059 LV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LA SERENA / RUTA SOLITARIA 1059 LV</t>
        </is>
      </c>
      <c r="K212" s="2" t="n">
        <v>1543</v>
      </c>
    </row>
    <row r="213">
      <c r="A213" s="4">
        <f>"119087"</f>
        <v/>
      </c>
      <c r="B213" s="4" t="inlineStr">
        <is>
          <t>CHKO372924 / HKOOB36982949</t>
        </is>
      </c>
      <c r="C213" s="4" t="inlineStr">
        <is>
          <t>06/05/2026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RUTA SOLITARIA ELPAC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RUTA SOLITARIA ELPAC</t>
        </is>
      </c>
      <c r="K213" s="4" t="n">
        <v>1868</v>
      </c>
    </row>
    <row r="214">
      <c r="A214" s="2">
        <f>"119112"</f>
        <v/>
      </c>
      <c r="B214" s="2" t="inlineStr">
        <is>
          <t>HKOOB36994400 / HKOOB36994408</t>
        </is>
      </c>
      <c r="C214" s="2" t="inlineStr">
        <is>
          <t>07/05/2026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PTO MONTT / VALDIVIA</t>
        </is>
      </c>
      <c r="H214" s="3" t="inlineStr">
        <is>
          <t>77970090-9/TRANSPORTES DONA ISIDORA (LABBE)</t>
        </is>
      </c>
      <c r="I214" s="2" t="n">
        <v>1</v>
      </c>
      <c r="J214" s="3" t="inlineStr">
        <is>
          <t>PTO MONTT / VALDIVIA</t>
        </is>
      </c>
      <c r="K214" s="2" t="n">
        <v>1247</v>
      </c>
    </row>
    <row r="215">
      <c r="A215" s="4">
        <f>"119113"</f>
        <v/>
      </c>
      <c r="B215" s="4" t="inlineStr">
        <is>
          <t>CHKO373144 / HKOOB36991739</t>
        </is>
      </c>
      <c r="C215" s="4" t="inlineStr">
        <is>
          <t>07/05/2026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CHILLAN / 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CHILLAN / TALCA</t>
        </is>
      </c>
      <c r="K215" s="4" t="n">
        <v>1626</v>
      </c>
    </row>
    <row r="216">
      <c r="A216" s="2">
        <f>"119118"</f>
        <v/>
      </c>
      <c r="B216" s="2" t="inlineStr">
        <is>
          <t>CHKO373029 / CHKO373166 / HKOOB36991777</t>
        </is>
      </c>
      <c r="C216" s="2" t="inlineStr">
        <is>
          <t>07/05/2026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1570</v>
      </c>
    </row>
    <row r="217">
      <c r="A217" s="4">
        <f>"119133"</f>
        <v/>
      </c>
      <c r="B217" s="4" t="inlineStr">
        <is>
          <t>CHKO373305 / HKOOB36974928</t>
        </is>
      </c>
      <c r="C217" s="4" t="inlineStr">
        <is>
          <t>08/05/2026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LOS ANGELES / TEMUCO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 / TEMUCO</t>
        </is>
      </c>
      <c r="K217" s="4" t="n">
        <v>1569</v>
      </c>
    </row>
    <row r="218">
      <c r="A218" s="2">
        <f>"119142"</f>
        <v/>
      </c>
      <c r="B218" s="2" t="inlineStr">
        <is>
          <t>CHKO373309 / CHKO373325 / HKOOB36985272</t>
        </is>
      </c>
      <c r="C218" s="2" t="inlineStr">
        <is>
          <t>08/05/2026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ANTOFAGASTA / ARICA</t>
        </is>
      </c>
      <c r="H218" s="3" t="inlineStr">
        <is>
          <t>77970090-9/TRANSPORTES DONA ISIDORA (LABBE)</t>
        </is>
      </c>
      <c r="I218" s="2" t="n">
        <v>1</v>
      </c>
      <c r="J218" s="3" t="inlineStr">
        <is>
          <t>ANTOFAGASTA / ARICA</t>
        </is>
      </c>
      <c r="K218" s="2" t="n">
        <v>1716</v>
      </c>
    </row>
    <row r="219">
      <c r="A219" s="4">
        <f>"119173"</f>
        <v/>
      </c>
      <c r="B219" s="4" t="inlineStr">
        <is>
          <t>CHKO373624 / HKOOB37011942</t>
        </is>
      </c>
      <c r="C219" s="4" t="inlineStr">
        <is>
          <t>11/05/2026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PTO MONTT / VALDIVIA</t>
        </is>
      </c>
      <c r="K219" s="4" t="n">
        <v>1664</v>
      </c>
    </row>
    <row r="220">
      <c r="A220" s="2">
        <f>"119195"</f>
        <v/>
      </c>
      <c r="B220" s="2" t="inlineStr">
        <is>
          <t>CHKO373384 / HKOOB37037365</t>
        </is>
      </c>
      <c r="C220" s="2" t="inlineStr">
        <is>
          <t>12/05/2026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ANTOFAGASTA / IQUIQUE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ANTOFAGASTA / IQUIQUE</t>
        </is>
      </c>
      <c r="K220" s="2" t="n">
        <v>1786</v>
      </c>
    </row>
    <row r="221">
      <c r="A221" s="4" t="inlineStr">
        <is>
          <t>LAS</t>
        </is>
      </c>
      <c r="B221" s="4" t="inlineStr">
        <is>
          <t>HKOOB36985602 / HKOOB36985610 / HKOOB36991771 / HKOOB36991772 / HKOOB36997597 / HKOOB36997604 / HKOOB37004439 / HKOOB37004444 / HKOOB37004446</t>
        </is>
      </c>
      <c r="C221" s="4" t="inlineStr">
        <is>
          <t>12/05/2026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LO ESPEJO / VINA DEL MAR</t>
        </is>
      </c>
      <c r="H221" s="5" t="inlineStr">
        <is>
          <t>SIN PROVEEDOR</t>
        </is>
      </c>
      <c r="I221" s="4" t="n">
        <v>1</v>
      </c>
      <c r="J221" s="5" t="inlineStr">
        <is>
          <t>LO ESPEJO / VINA DEL MAR</t>
        </is>
      </c>
      <c r="K221" s="4" t="n">
        <v>11269</v>
      </c>
    </row>
  </sheetData>
  <autoFilter ref="A1:K2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2026-05-13T02:29:28Z</dcterms:created>
  <dcterms:modified xmlns:dcterms="http://purl.org/dc/terms/" xmlns:xsi="http://www.w3.org/2001/XMLSchema-instance" xsi:type="dcterms:W3CDTF">2026-05-13T02:29:28Z</dcterms:modified>
</cp:coreProperties>
</file>